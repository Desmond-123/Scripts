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Data" sheetId="1" state="visible" r:id="rId1"/>
    <sheet xmlns:r="http://schemas.openxmlformats.org/officeDocument/2006/relationships" name="CR_Coefficients" sheetId="2" state="visible" r:id="rId2"/>
    <sheet xmlns:r="http://schemas.openxmlformats.org/officeDocument/2006/relationships" name="Trend_Summary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pm25_concentration</t>
        </is>
      </c>
      <c r="C1" s="1" t="inlineStr">
        <is>
          <t>region</t>
        </is>
      </c>
      <c r="D1" s="1" t="inlineStr">
        <is>
          <t>data_source_x</t>
        </is>
      </c>
      <c r="E1" s="1" t="inlineStr">
        <is>
          <t>population_total</t>
        </is>
      </c>
      <c r="F1" s="1" t="inlineStr">
        <is>
          <t>population_growth_rate</t>
        </is>
      </c>
      <c r="G1" s="1" t="inlineStr">
        <is>
          <t>urban_population_percent</t>
        </is>
      </c>
      <c r="H1" s="1" t="inlineStr">
        <is>
          <t>pop_0_14_percent</t>
        </is>
      </c>
      <c r="I1" s="1" t="inlineStr">
        <is>
          <t>pop_15_64_percent</t>
        </is>
      </c>
      <c r="J1" s="1" t="inlineStr">
        <is>
          <t>pop_65plus_percent</t>
        </is>
      </c>
      <c r="K1" s="1" t="inlineStr">
        <is>
          <t>population_0_14</t>
        </is>
      </c>
      <c r="L1" s="1" t="inlineStr">
        <is>
          <t>population_15_64</t>
        </is>
      </c>
      <c r="M1" s="1" t="inlineStr">
        <is>
          <t>population_65plus</t>
        </is>
      </c>
      <c r="N1" s="1" t="inlineStr">
        <is>
          <t>population_under5</t>
        </is>
      </c>
      <c r="O1" s="1" t="inlineStr">
        <is>
          <t>population_5_14</t>
        </is>
      </c>
      <c r="P1" s="1" t="inlineStr">
        <is>
          <t>population_25plus</t>
        </is>
      </c>
      <c r="Q1" s="1" t="inlineStr">
        <is>
          <t>population_30plus</t>
        </is>
      </c>
      <c r="R1" s="1" t="inlineStr">
        <is>
          <t>under5_mortality_rate</t>
        </is>
      </c>
      <c r="S1" s="1" t="inlineStr">
        <is>
          <t>life_expectancy</t>
        </is>
      </c>
      <c r="T1" s="1" t="inlineStr">
        <is>
          <t>tuberculosis_incidence</t>
        </is>
      </c>
      <c r="U1" s="1" t="inlineStr">
        <is>
          <t>ihd_mortality_rate</t>
        </is>
      </c>
      <c r="V1" s="1" t="inlineStr">
        <is>
          <t>stroke_mortality_rate</t>
        </is>
      </c>
      <c r="W1" s="1" t="inlineStr">
        <is>
          <t>cardiovascular_mortality_rate</t>
        </is>
      </c>
      <c r="X1" s="1" t="inlineStr">
        <is>
          <t>copd_mortality_rate</t>
        </is>
      </c>
      <c r="Y1" s="1" t="inlineStr">
        <is>
          <t>lri_mortality_rate</t>
        </is>
      </c>
      <c r="Z1" s="1" t="inlineStr">
        <is>
          <t>respiratory_mortality_rate</t>
        </is>
      </c>
      <c r="AA1" s="1" t="inlineStr">
        <is>
          <t>lung_cancer_mortality_rate</t>
        </is>
      </c>
      <c r="AB1" s="1" t="inlineStr">
        <is>
          <t>diabetes_mortality_rate</t>
        </is>
      </c>
      <c r="AC1" s="1" t="inlineStr">
        <is>
          <t>data_source_y</t>
        </is>
      </c>
      <c r="AD1" s="1" t="inlineStr">
        <is>
          <t>all_cause_mortality_rate_reference</t>
        </is>
      </c>
      <c r="AE1" s="1" t="inlineStr">
        <is>
          <t>asthma_incidence_rate</t>
        </is>
      </c>
      <c r="AF1" s="1" t="inlineStr">
        <is>
          <t>copd_incidence_rate</t>
        </is>
      </c>
      <c r="AG1" s="1" t="inlineStr">
        <is>
          <t>child_ari_incidence_rate</t>
        </is>
      </c>
      <c r="AH1" s="1" t="inlineStr">
        <is>
          <t>baseline_data_source</t>
        </is>
      </c>
      <c r="AI1" s="1" t="inlineStr">
        <is>
          <t>notes</t>
        </is>
      </c>
    </row>
    <row r="2">
      <c r="A2" t="n">
        <v>2005</v>
      </c>
      <c r="B2" t="inlineStr"/>
      <c r="C2" t="inlineStr">
        <is>
          <t>Ghana</t>
        </is>
      </c>
      <c r="D2" t="inlineStr">
        <is>
          <t>YOUR_PM25_DATA_SOURCE</t>
        </is>
      </c>
      <c r="E2" t="n">
        <v>22449438</v>
      </c>
      <c r="F2" t="n">
        <v>2.62275723095941</v>
      </c>
      <c r="G2" t="n">
        <v>47.308</v>
      </c>
      <c r="H2" t="n">
        <v>40.3933697582986</v>
      </c>
      <c r="I2" t="n">
        <v>56.2685199513681</v>
      </c>
      <c r="J2" t="n">
        <v>3.33811029033333</v>
      </c>
      <c r="K2" t="n">
        <v>9068084.499999993</v>
      </c>
      <c r="L2" t="n">
        <v>12631966.50000001</v>
      </c>
      <c r="M2" t="n">
        <v>749387.0000000009</v>
      </c>
      <c r="N2" t="n">
        <v>3808595.489999996</v>
      </c>
      <c r="O2" t="n">
        <v>5259489.009999995</v>
      </c>
      <c r="P2" t="n">
        <v>10223361.87500001</v>
      </c>
      <c r="Q2" t="n">
        <v>8960165.225000009</v>
      </c>
      <c r="R2" t="n">
        <v>82.2</v>
      </c>
      <c r="S2" t="n">
        <v>59.638</v>
      </c>
      <c r="T2" t="n">
        <v>203</v>
      </c>
      <c r="U2" t="n">
        <v>68.5</v>
      </c>
      <c r="V2" t="n">
        <v>95.3</v>
      </c>
      <c r="W2" t="n">
        <v>163.8</v>
      </c>
      <c r="X2" t="n">
        <v>42.8</v>
      </c>
      <c r="Y2" t="n">
        <v>85.2</v>
      </c>
      <c r="Z2" t="n">
        <v>128</v>
      </c>
      <c r="AA2" t="n">
        <v>3.2</v>
      </c>
      <c r="AB2" t="n">
        <v>18.5</v>
      </c>
      <c r="AC2" t="inlineStr">
        <is>
          <t>GBD 2019 estimates for Ghana</t>
        </is>
      </c>
      <c r="AD2" t="n">
        <v>931.4</v>
      </c>
      <c r="AE2" t="n">
        <v>155</v>
      </c>
      <c r="AF2" t="n">
        <v>198</v>
      </c>
      <c r="AG2" t="n">
        <v>11000</v>
      </c>
      <c r="AH2" t="inlineStr">
        <is>
          <t>GBD 2019 + WHO estimates</t>
        </is>
      </c>
      <c r="AI2" t="inlineStr">
        <is>
          <t>Cause-specific rates based on epidemiological trends</t>
        </is>
      </c>
    </row>
    <row r="3">
      <c r="A3" t="n">
        <v>2006</v>
      </c>
      <c r="B3" t="inlineStr"/>
      <c r="C3" t="inlineStr">
        <is>
          <t>Ghana</t>
        </is>
      </c>
      <c r="D3" t="inlineStr">
        <is>
          <t>YOUR_PM25_DATA_SOURCE</t>
        </is>
      </c>
      <c r="E3" t="n">
        <v>23040702</v>
      </c>
      <c r="F3" t="n">
        <v>2.59967236461776</v>
      </c>
      <c r="G3" t="n">
        <v>47.988</v>
      </c>
      <c r="H3" t="n">
        <v>40.0928951730724</v>
      </c>
      <c r="I3" t="n">
        <v>56.5474849681229</v>
      </c>
      <c r="J3" t="n">
        <v>3.35961985880465</v>
      </c>
      <c r="K3" t="n">
        <v>9237684.499999994</v>
      </c>
      <c r="L3" t="n">
        <v>13028937.49999999</v>
      </c>
      <c r="M3" t="n">
        <v>774080.0000000001</v>
      </c>
      <c r="N3" t="n">
        <v>3879827.489999997</v>
      </c>
      <c r="O3" t="n">
        <v>5357857.009999996</v>
      </c>
      <c r="P3" t="n">
        <v>10545783.12499999</v>
      </c>
      <c r="Q3" t="n">
        <v>9242889.374999996</v>
      </c>
      <c r="R3" t="n">
        <v>79.3</v>
      </c>
      <c r="S3" t="n">
        <v>59.975</v>
      </c>
      <c r="T3" t="n">
        <v>199</v>
      </c>
      <c r="U3" t="n">
        <v>70.21249999999999</v>
      </c>
      <c r="V3" t="n">
        <v>97.206</v>
      </c>
      <c r="W3" t="n">
        <v>167.4185</v>
      </c>
      <c r="X3" t="n">
        <v>43.5704</v>
      </c>
      <c r="Y3" t="n">
        <v>83.922</v>
      </c>
      <c r="Z3" t="n">
        <v>127.4924</v>
      </c>
      <c r="AA3" t="n">
        <v>3.2704</v>
      </c>
      <c r="AB3" t="n">
        <v>19.1475</v>
      </c>
      <c r="AC3" t="inlineStr">
        <is>
          <t>GBD 2019 estimates for Ghana</t>
        </is>
      </c>
      <c r="AD3" t="n">
        <v>916.1</v>
      </c>
      <c r="AE3" t="n">
        <v>155</v>
      </c>
      <c r="AF3" t="n">
        <v>200.97</v>
      </c>
      <c r="AG3" t="n">
        <v>10835</v>
      </c>
      <c r="AH3" t="inlineStr">
        <is>
          <t>GBD 2019 + WHO estimates</t>
        </is>
      </c>
      <c r="AI3" t="inlineStr">
        <is>
          <t>Cause-specific rates based on epidemiological trends</t>
        </is>
      </c>
    </row>
    <row r="4">
      <c r="A4" t="n">
        <v>2007</v>
      </c>
      <c r="B4" t="inlineStr"/>
      <c r="C4" t="inlineStr">
        <is>
          <t>Ghana</t>
        </is>
      </c>
      <c r="D4" t="inlineStr">
        <is>
          <t>YOUR_PM25_DATA_SOURCE</t>
        </is>
      </c>
      <c r="E4" t="n">
        <v>23642279</v>
      </c>
      <c r="F4" t="n">
        <v>2.57742881770877</v>
      </c>
      <c r="G4" t="n">
        <v>48.669</v>
      </c>
      <c r="H4" t="n">
        <v>39.794579448115</v>
      </c>
      <c r="I4" t="n">
        <v>56.8269116526372</v>
      </c>
      <c r="J4" t="n">
        <v>3.37850889924783</v>
      </c>
      <c r="K4" t="n">
        <v>9408345.500000009</v>
      </c>
      <c r="L4" t="n">
        <v>13435177</v>
      </c>
      <c r="M4" t="n">
        <v>798756.5000000009</v>
      </c>
      <c r="N4" t="n">
        <v>3951505.110000004</v>
      </c>
      <c r="O4" t="n">
        <v>5456840.390000005</v>
      </c>
      <c r="P4" t="n">
        <v>10875139.25</v>
      </c>
      <c r="Q4" t="n">
        <v>9531621.550000001</v>
      </c>
      <c r="R4" t="n">
        <v>76.3</v>
      </c>
      <c r="S4" t="n">
        <v>60.282</v>
      </c>
      <c r="T4" t="n">
        <v>196</v>
      </c>
      <c r="U4" t="n">
        <v>71.96781249999999</v>
      </c>
      <c r="V4" t="n">
        <v>99.15012</v>
      </c>
      <c r="W4" t="n">
        <v>171.1179325</v>
      </c>
      <c r="X4" t="n">
        <v>44.3546672</v>
      </c>
      <c r="Y4" t="n">
        <v>82.66317000000001</v>
      </c>
      <c r="Z4" t="n">
        <v>127.0178372</v>
      </c>
      <c r="AA4" t="n">
        <v>3.3423488</v>
      </c>
      <c r="AB4" t="n">
        <v>19.8176625</v>
      </c>
      <c r="AC4" t="inlineStr">
        <is>
          <t>GBD 2019 estimates for Ghana</t>
        </is>
      </c>
      <c r="AD4" t="n">
        <v>901.5</v>
      </c>
      <c r="AE4" t="n">
        <v>155</v>
      </c>
      <c r="AF4" t="n">
        <v>203.98455</v>
      </c>
      <c r="AG4" t="n">
        <v>10672.475</v>
      </c>
      <c r="AH4" t="inlineStr">
        <is>
          <t>GBD 2019 + WHO estimates</t>
        </is>
      </c>
      <c r="AI4" t="inlineStr">
        <is>
          <t>Cause-specific rates based on epidemiological trends</t>
        </is>
      </c>
    </row>
    <row r="5">
      <c r="A5" t="n">
        <v>2008</v>
      </c>
      <c r="B5" t="inlineStr"/>
      <c r="C5" t="inlineStr">
        <is>
          <t>Ghana</t>
        </is>
      </c>
      <c r="D5" t="inlineStr">
        <is>
          <t>YOUR_PM25_DATA_SOURCE</t>
        </is>
      </c>
      <c r="E5" t="n">
        <v>24249946</v>
      </c>
      <c r="F5" t="n">
        <v>2.5377798286274</v>
      </c>
      <c r="G5" t="n">
        <v>49.351</v>
      </c>
      <c r="H5" t="n">
        <v>39.5119910782482</v>
      </c>
      <c r="I5" t="n">
        <v>57.1001890066064</v>
      </c>
      <c r="J5" t="n">
        <v>3.38781991514538</v>
      </c>
      <c r="K5" t="n">
        <v>9581636.500000006</v>
      </c>
      <c r="L5" t="n">
        <v>13846764.99999999</v>
      </c>
      <c r="M5" t="n">
        <v>821544.5000000005</v>
      </c>
      <c r="N5" t="n">
        <v>4024287.330000002</v>
      </c>
      <c r="O5" t="n">
        <v>5557349.170000003</v>
      </c>
      <c r="P5" t="n">
        <v>11206618.24999999</v>
      </c>
      <c r="Q5" t="n">
        <v>9821941.749999993</v>
      </c>
      <c r="R5" t="n">
        <v>73.09999999999999</v>
      </c>
      <c r="S5" t="n">
        <v>60.578</v>
      </c>
      <c r="T5" t="n">
        <v>191</v>
      </c>
      <c r="U5" t="n">
        <v>73.76700781249998</v>
      </c>
      <c r="V5" t="n">
        <v>101.1331224</v>
      </c>
      <c r="W5" t="n">
        <v>174.9001302125</v>
      </c>
      <c r="X5" t="n">
        <v>45.1530512096</v>
      </c>
      <c r="Y5" t="n">
        <v>81.42322245</v>
      </c>
      <c r="Z5" t="n">
        <v>126.5762736596</v>
      </c>
      <c r="AA5" t="n">
        <v>3.4158804736</v>
      </c>
      <c r="AB5" t="n">
        <v>20.51128068749999</v>
      </c>
      <c r="AC5" t="inlineStr">
        <is>
          <t>GBD 2019 estimates for Ghana</t>
        </is>
      </c>
      <c r="AD5" t="n">
        <v>888.4</v>
      </c>
      <c r="AE5" t="n">
        <v>155</v>
      </c>
      <c r="AF5" t="n">
        <v>207.0443182499999</v>
      </c>
      <c r="AG5" t="n">
        <v>10512.387875</v>
      </c>
      <c r="AH5" t="inlineStr">
        <is>
          <t>GBD 2019 + WHO estimates</t>
        </is>
      </c>
      <c r="AI5" t="inlineStr">
        <is>
          <t>Cause-specific rates based on epidemiological trends</t>
        </is>
      </c>
    </row>
    <row r="6">
      <c r="A6" t="n">
        <v>2009</v>
      </c>
      <c r="B6" t="inlineStr"/>
      <c r="C6" t="inlineStr">
        <is>
          <t>Ghana</t>
        </is>
      </c>
      <c r="D6" t="inlineStr">
        <is>
          <t>YOUR_PM25_DATA_SOURCE</t>
        </is>
      </c>
      <c r="E6" t="n">
        <v>24862664</v>
      </c>
      <c r="F6" t="n">
        <v>2.49528498609835</v>
      </c>
      <c r="G6" t="n">
        <v>50.031</v>
      </c>
      <c r="H6" t="n">
        <v>39.2739020389388</v>
      </c>
      <c r="I6" t="n">
        <v>57.3401455021042</v>
      </c>
      <c r="J6" t="n">
        <v>3.38595245895708</v>
      </c>
      <c r="K6" t="n">
        <v>9764538.303630503</v>
      </c>
      <c r="L6" t="n">
        <v>14256287.71329928</v>
      </c>
      <c r="M6" t="n">
        <v>841837.9830702367</v>
      </c>
      <c r="N6" t="n">
        <v>4101106.087524811</v>
      </c>
      <c r="O6" t="n">
        <v>5663432.216105691</v>
      </c>
      <c r="P6" t="n">
        <v>11534053.7680447</v>
      </c>
      <c r="Q6" t="n">
        <v>10108424.99671477</v>
      </c>
      <c r="R6" t="n">
        <v>69.90000000000001</v>
      </c>
      <c r="S6" t="n">
        <v>60.928</v>
      </c>
      <c r="T6" t="n">
        <v>187</v>
      </c>
      <c r="U6" t="n">
        <v>75.61118300781247</v>
      </c>
      <c r="V6" t="n">
        <v>103.155784848</v>
      </c>
      <c r="W6" t="n">
        <v>178.7669678558125</v>
      </c>
      <c r="X6" t="n">
        <v>45.9658061313728</v>
      </c>
      <c r="Y6" t="n">
        <v>80.20187411325</v>
      </c>
      <c r="Z6" t="n">
        <v>126.1676802446228</v>
      </c>
      <c r="AA6" t="n">
        <v>3.4910298440192</v>
      </c>
      <c r="AB6" t="n">
        <v>21.2291755115625</v>
      </c>
      <c r="AC6" t="inlineStr">
        <is>
          <t>GBD 2019 estimates for Ghana</t>
        </is>
      </c>
      <c r="AD6" t="n">
        <v>874.1</v>
      </c>
      <c r="AE6" t="n">
        <v>155</v>
      </c>
      <c r="AF6" t="n">
        <v>210.1499830237499</v>
      </c>
      <c r="AG6" t="n">
        <v>10354.702056875</v>
      </c>
      <c r="AH6" t="inlineStr">
        <is>
          <t>GBD 2019 + WHO estimates</t>
        </is>
      </c>
      <c r="AI6" t="inlineStr">
        <is>
          <t>Cause-specific rates based on epidemiological trends</t>
        </is>
      </c>
    </row>
    <row r="7">
      <c r="A7" t="n">
        <v>2010</v>
      </c>
      <c r="B7" t="inlineStr"/>
      <c r="C7" t="inlineStr">
        <is>
          <t>Ghana</t>
        </is>
      </c>
      <c r="D7" t="inlineStr">
        <is>
          <t>YOUR_PM25_DATA_SOURCE</t>
        </is>
      </c>
      <c r="E7" t="n">
        <v>25474995</v>
      </c>
      <c r="F7" t="n">
        <v>2.43301424000427</v>
      </c>
      <c r="G7" t="n">
        <v>50.713</v>
      </c>
      <c r="H7" t="n">
        <v>39.1081006906596</v>
      </c>
      <c r="I7" t="n">
        <v>57.512112514882</v>
      </c>
      <c r="J7" t="n">
        <v>3.37978679445839</v>
      </c>
      <c r="K7" t="n">
        <v>9962786.695540497</v>
      </c>
      <c r="L7" t="n">
        <v>14651207.78756056</v>
      </c>
      <c r="M7" t="n">
        <v>861000.5168989352</v>
      </c>
      <c r="N7" t="n">
        <v>4184370.412127009</v>
      </c>
      <c r="O7" t="n">
        <v>5778416.283413487</v>
      </c>
      <c r="P7" t="n">
        <v>11849406.35756936</v>
      </c>
      <c r="Q7" t="n">
        <v>10384285.5788133</v>
      </c>
      <c r="R7" t="n">
        <v>66.5</v>
      </c>
      <c r="S7" t="n">
        <v>61.297</v>
      </c>
      <c r="T7" t="n">
        <v>183</v>
      </c>
      <c r="U7" t="n">
        <v>77.50146258300778</v>
      </c>
      <c r="V7" t="n">
        <v>105.21890054496</v>
      </c>
      <c r="W7" t="n">
        <v>182.7203631279678</v>
      </c>
      <c r="X7" t="n">
        <v>46.79319064173751</v>
      </c>
      <c r="Y7" t="n">
        <v>78.99884600155124</v>
      </c>
      <c r="Z7" t="n">
        <v>125.7920366432888</v>
      </c>
      <c r="AA7" t="n">
        <v>3.567832500587623</v>
      </c>
      <c r="AB7" t="n">
        <v>21.97219665446718</v>
      </c>
      <c r="AC7" t="inlineStr">
        <is>
          <t>GBD 2019 estimates for Ghana</t>
        </is>
      </c>
      <c r="AD7" t="n">
        <v>860.4</v>
      </c>
      <c r="AE7" t="n">
        <v>155</v>
      </c>
      <c r="AF7" t="n">
        <v>213.3022327691062</v>
      </c>
      <c r="AG7" t="n">
        <v>10199.38152602187</v>
      </c>
      <c r="AH7" t="inlineStr">
        <is>
          <t>GBD 2019 + WHO estimates</t>
        </is>
      </c>
      <c r="AI7" t="inlineStr">
        <is>
          <t>Cause-specific rates based on epidemiological trends</t>
        </is>
      </c>
    </row>
    <row r="8">
      <c r="A8" t="n">
        <v>2011</v>
      </c>
      <c r="B8" t="inlineStr"/>
      <c r="C8" t="inlineStr">
        <is>
          <t>Ghana</t>
        </is>
      </c>
      <c r="D8" t="inlineStr">
        <is>
          <t>YOUR_PM25_DATA_SOURCE</t>
        </is>
      </c>
      <c r="E8" t="n">
        <v>26095088</v>
      </c>
      <c r="F8" t="n">
        <v>2.40497145453178</v>
      </c>
      <c r="G8" t="n">
        <v>51.394</v>
      </c>
      <c r="H8" t="n">
        <v>39.0092744657539</v>
      </c>
      <c r="I8" t="n">
        <v>57.6207445631147</v>
      </c>
      <c r="J8" t="n">
        <v>3.36998097113143</v>
      </c>
      <c r="K8" t="n">
        <v>10179504.50000001</v>
      </c>
      <c r="L8" t="n">
        <v>15036183.99999999</v>
      </c>
      <c r="M8" t="n">
        <v>879399.5000000012</v>
      </c>
      <c r="N8" t="n">
        <v>4275391.890000003</v>
      </c>
      <c r="O8" t="n">
        <v>5904112.610000005</v>
      </c>
      <c r="P8" t="n">
        <v>12156537.5</v>
      </c>
      <c r="Q8" t="n">
        <v>10652919.1</v>
      </c>
      <c r="R8" t="n">
        <v>63.3</v>
      </c>
      <c r="S8" t="n">
        <v>61.617</v>
      </c>
      <c r="T8" t="n">
        <v>178</v>
      </c>
      <c r="U8" t="n">
        <v>79.43899914758296</v>
      </c>
      <c r="V8" t="n">
        <v>107.3232785558592</v>
      </c>
      <c r="W8" t="n">
        <v>186.7622777034422</v>
      </c>
      <c r="X8" t="n">
        <v>47.63546807328878</v>
      </c>
      <c r="Y8" t="n">
        <v>77.81386331152798</v>
      </c>
      <c r="Z8" t="n">
        <v>125.4493313848168</v>
      </c>
      <c r="AA8" t="n">
        <v>3.646324815600551</v>
      </c>
      <c r="AB8" t="n">
        <v>22.74122353737352</v>
      </c>
      <c r="AC8" t="inlineStr">
        <is>
          <t>GBD 2019 estimates for Ghana</t>
        </is>
      </c>
      <c r="AD8" t="n">
        <v>848.5</v>
      </c>
      <c r="AE8" t="n">
        <v>155</v>
      </c>
      <c r="AF8" t="n">
        <v>216.5017662606427</v>
      </c>
      <c r="AG8" t="n">
        <v>10046.39080313155</v>
      </c>
      <c r="AH8" t="inlineStr">
        <is>
          <t>GBD 2019 + WHO estimates</t>
        </is>
      </c>
      <c r="AI8" t="inlineStr">
        <is>
          <t>Cause-specific rates based on epidemiological trends</t>
        </is>
      </c>
    </row>
    <row r="9">
      <c r="A9" t="n">
        <v>2012</v>
      </c>
      <c r="B9" t="inlineStr"/>
      <c r="C9" t="inlineStr">
        <is>
          <t>Ghana</t>
        </is>
      </c>
      <c r="D9" t="inlineStr">
        <is>
          <t>YOUR_PM25_DATA_SOURCE</t>
        </is>
      </c>
      <c r="E9" t="n">
        <v>26734268</v>
      </c>
      <c r="F9" t="n">
        <v>2.4199090803465</v>
      </c>
      <c r="G9" t="n">
        <v>52.073</v>
      </c>
      <c r="H9" t="n">
        <v>38.9368742219373</v>
      </c>
      <c r="I9" t="n">
        <v>57.706675235943</v>
      </c>
      <c r="J9" t="n">
        <v>3.35645054211975</v>
      </c>
      <c r="K9" t="n">
        <v>10409488.30531563</v>
      </c>
      <c r="L9" t="n">
        <v>15427457.21146663</v>
      </c>
      <c r="M9" t="n">
        <v>897322.483217747</v>
      </c>
      <c r="N9" t="n">
        <v>4371985.088232566</v>
      </c>
      <c r="O9" t="n">
        <v>6037503.217083067</v>
      </c>
      <c r="P9" t="n">
        <v>12467915.39181772</v>
      </c>
      <c r="Q9" t="n">
        <v>10925169.67067106</v>
      </c>
      <c r="R9" t="n">
        <v>60.2</v>
      </c>
      <c r="S9" t="n">
        <v>61.995</v>
      </c>
      <c r="T9" t="n">
        <v>173</v>
      </c>
      <c r="U9" t="n">
        <v>81.42497412627255</v>
      </c>
      <c r="V9" t="n">
        <v>109.4697441269764</v>
      </c>
      <c r="W9" t="n">
        <v>190.8947182532489</v>
      </c>
      <c r="X9" t="n">
        <v>48.49290649860799</v>
      </c>
      <c r="Y9" t="n">
        <v>76.64665536185505</v>
      </c>
      <c r="Z9" t="n">
        <v>125.139561860463</v>
      </c>
      <c r="AA9" t="n">
        <v>3.726543961543763</v>
      </c>
      <c r="AB9" t="n">
        <v>23.5371663611816</v>
      </c>
      <c r="AC9" t="inlineStr">
        <is>
          <t>GBD 2019 estimates for Ghana</t>
        </is>
      </c>
      <c r="AD9" t="n">
        <v>833.3</v>
      </c>
      <c r="AE9" t="n">
        <v>155</v>
      </c>
      <c r="AF9" t="n">
        <v>219.7492927545524</v>
      </c>
      <c r="AG9" t="n">
        <v>9895.694941084572</v>
      </c>
      <c r="AH9" t="inlineStr">
        <is>
          <t>GBD 2019 + WHO estimates</t>
        </is>
      </c>
      <c r="AI9" t="inlineStr">
        <is>
          <t>Cause-specific rates based on epidemiological trends</t>
        </is>
      </c>
    </row>
    <row r="10">
      <c r="A10" t="n">
        <v>2013</v>
      </c>
      <c r="B10" t="inlineStr"/>
      <c r="C10" t="inlineStr">
        <is>
          <t>Ghana</t>
        </is>
      </c>
      <c r="D10" t="inlineStr">
        <is>
          <t>YOUR_PM25_DATA_SOURCE</t>
        </is>
      </c>
      <c r="E10" t="n">
        <v>27386193</v>
      </c>
      <c r="F10" t="n">
        <v>2.40927930949909</v>
      </c>
      <c r="G10" t="n">
        <v>52.748</v>
      </c>
      <c r="H10" t="n">
        <v>38.8606393532069</v>
      </c>
      <c r="I10" t="n">
        <v>57.7912847870327</v>
      </c>
      <c r="J10" t="n">
        <v>3.34807585976035</v>
      </c>
      <c r="K10" t="n">
        <v>10642449.69430319</v>
      </c>
      <c r="L10" t="n">
        <v>15826832.78895641</v>
      </c>
      <c r="M10" t="n">
        <v>916910.5167403789</v>
      </c>
      <c r="N10" t="n">
        <v>4469828.871607341</v>
      </c>
      <c r="O10" t="n">
        <v>6172620.822695851</v>
      </c>
      <c r="P10" t="n">
        <v>12787035.10845769</v>
      </c>
      <c r="Q10" t="n">
        <v>11204351.82956205</v>
      </c>
      <c r="R10" t="n">
        <v>57.4</v>
      </c>
      <c r="S10" t="n">
        <v>62.397</v>
      </c>
      <c r="T10" t="n">
        <v>168</v>
      </c>
      <c r="U10" t="n">
        <v>83.46059847942934</v>
      </c>
      <c r="V10" t="n">
        <v>111.6591390095159</v>
      </c>
      <c r="W10" t="n">
        <v>195.1197374889452</v>
      </c>
      <c r="X10" t="n">
        <v>49.36577881558293</v>
      </c>
      <c r="Y10" t="n">
        <v>75.49695553142723</v>
      </c>
      <c r="Z10" t="n">
        <v>124.8627343470102</v>
      </c>
      <c r="AA10" t="n">
        <v>3.808527928697726</v>
      </c>
      <c r="AB10" t="n">
        <v>24.36096718382295</v>
      </c>
      <c r="AC10" t="inlineStr">
        <is>
          <t>GBD 2019 estimates for Ghana</t>
        </is>
      </c>
      <c r="AD10" t="n">
        <v>816.9</v>
      </c>
      <c r="AE10" t="n">
        <v>155</v>
      </c>
      <c r="AF10" t="n">
        <v>223.0455321458706</v>
      </c>
      <c r="AG10" t="n">
        <v>9747.259516968305</v>
      </c>
      <c r="AH10" t="inlineStr">
        <is>
          <t>GBD 2019 + WHO estimates</t>
        </is>
      </c>
      <c r="AI10" t="inlineStr">
        <is>
          <t>Cause-specific rates based on epidemiological trends</t>
        </is>
      </c>
    </row>
    <row r="11">
      <c r="A11" t="n">
        <v>2014</v>
      </c>
      <c r="B11" t="inlineStr"/>
      <c r="C11" t="inlineStr">
        <is>
          <t>Ghana</t>
        </is>
      </c>
      <c r="D11" t="inlineStr">
        <is>
          <t>YOUR_PM25_DATA_SOURCE</t>
        </is>
      </c>
      <c r="E11" t="n">
        <v>28041592</v>
      </c>
      <c r="F11" t="n">
        <v>2.36498553072391</v>
      </c>
      <c r="G11" t="n">
        <v>53.419</v>
      </c>
      <c r="H11" t="n">
        <v>38.7566594158302</v>
      </c>
      <c r="I11" t="n">
        <v>57.8927979928387</v>
      </c>
      <c r="J11" t="n">
        <v>3.35054259133107</v>
      </c>
      <c r="K11" t="n">
        <v>10867984.30621669</v>
      </c>
      <c r="L11" t="n">
        <v>16234062.21053602</v>
      </c>
      <c r="M11" t="n">
        <v>939545.4832472859</v>
      </c>
      <c r="N11" t="n">
        <v>4564553.408611009</v>
      </c>
      <c r="O11" t="n">
        <v>6303430.897605679</v>
      </c>
      <c r="P11" t="n">
        <v>13115092.1411493</v>
      </c>
      <c r="Q11" t="n">
        <v>11491685.9200957</v>
      </c>
      <c r="R11" t="n">
        <v>54.8</v>
      </c>
      <c r="S11" t="n">
        <v>62.832</v>
      </c>
      <c r="T11" t="n">
        <v>165</v>
      </c>
      <c r="U11" t="n">
        <v>85.54711344141506</v>
      </c>
      <c r="V11" t="n">
        <v>113.8923217897062</v>
      </c>
      <c r="W11" t="n">
        <v>199.4394352311213</v>
      </c>
      <c r="X11" t="n">
        <v>50.25436283426342</v>
      </c>
      <c r="Y11" t="n">
        <v>74.36450119845581</v>
      </c>
      <c r="Z11" t="n">
        <v>124.6188640327192</v>
      </c>
      <c r="AA11" t="n">
        <v>3.892315543129076</v>
      </c>
      <c r="AB11" t="n">
        <v>25.21360103525676</v>
      </c>
      <c r="AC11" t="inlineStr">
        <is>
          <t>GBD 2019 estimates for Ghana</t>
        </is>
      </c>
      <c r="AD11" t="n">
        <v>798.1</v>
      </c>
      <c r="AE11" t="n">
        <v>155</v>
      </c>
      <c r="AF11" t="n">
        <v>226.3912151280587</v>
      </c>
      <c r="AG11" t="n">
        <v>9601.05062421378</v>
      </c>
      <c r="AH11" t="inlineStr">
        <is>
          <t>GBD 2019 + WHO estimates</t>
        </is>
      </c>
      <c r="AI11" t="inlineStr">
        <is>
          <t>Cause-specific rates based on epidemiological trends</t>
        </is>
      </c>
    </row>
    <row r="12">
      <c r="A12" t="n">
        <v>2015</v>
      </c>
      <c r="B12" t="inlineStr"/>
      <c r="C12" t="inlineStr">
        <is>
          <t>Ghana</t>
        </is>
      </c>
      <c r="D12" t="inlineStr">
        <is>
          <t>YOUR_PM25_DATA_SOURCE</t>
        </is>
      </c>
      <c r="E12" t="n">
        <v>28696068</v>
      </c>
      <c r="F12" t="n">
        <v>2.30712733064921</v>
      </c>
      <c r="G12" t="n">
        <v>54.086</v>
      </c>
      <c r="H12" t="n">
        <v>38.6068195581154</v>
      </c>
      <c r="I12" t="n">
        <v>58.0343822372177</v>
      </c>
      <c r="J12" t="n">
        <v>3.35879820466689</v>
      </c>
      <c r="K12" t="n">
        <v>11078639.19303409</v>
      </c>
      <c r="L12" t="n">
        <v>16653585.79017191</v>
      </c>
      <c r="M12" t="n">
        <v>963843.0167939898</v>
      </c>
      <c r="N12" t="n">
        <v>4653028.46107432</v>
      </c>
      <c r="O12" t="n">
        <v>6425610.731959774</v>
      </c>
      <c r="P12" t="n">
        <v>13454032.35942292</v>
      </c>
      <c r="Q12" t="n">
        <v>11788673.78040573</v>
      </c>
      <c r="R12" t="n">
        <v>52.5</v>
      </c>
      <c r="S12" t="n">
        <v>63.175</v>
      </c>
      <c r="T12" t="n">
        <v>160</v>
      </c>
      <c r="U12" t="n">
        <v>87.68579127745043</v>
      </c>
      <c r="V12" t="n">
        <v>116.1701682255004</v>
      </c>
      <c r="W12" t="n">
        <v>203.8559595029508</v>
      </c>
      <c r="X12" t="n">
        <v>51.15894136528017</v>
      </c>
      <c r="Y12" t="n">
        <v>73.24903368047899</v>
      </c>
      <c r="Z12" t="n">
        <v>124.4079750457592</v>
      </c>
      <c r="AA12" t="n">
        <v>3.977946485077916</v>
      </c>
      <c r="AB12" t="n">
        <v>26.09607707149074</v>
      </c>
      <c r="AC12" t="inlineStr">
        <is>
          <t>GBD 2019 estimates for Ghana</t>
        </is>
      </c>
      <c r="AD12" t="n">
        <v>784.5</v>
      </c>
      <c r="AE12" t="n">
        <v>155</v>
      </c>
      <c r="AF12" t="n">
        <v>229.7870833549795</v>
      </c>
      <c r="AG12" t="n">
        <v>9457.034864850573</v>
      </c>
      <c r="AH12" t="inlineStr">
        <is>
          <t>GBD 2019 + WHO estimates</t>
        </is>
      </c>
      <c r="AI12" t="inlineStr">
        <is>
          <t>Cause-specific rates based on epidemiological trends</t>
        </is>
      </c>
    </row>
    <row r="13">
      <c r="A13" t="n">
        <v>2016</v>
      </c>
      <c r="B13" t="inlineStr"/>
      <c r="C13" t="inlineStr">
        <is>
          <t>Ghana</t>
        </is>
      </c>
      <c r="D13" t="inlineStr">
        <is>
          <t>YOUR_PM25_DATA_SOURCE</t>
        </is>
      </c>
      <c r="E13" t="n">
        <v>29356742</v>
      </c>
      <c r="F13" t="n">
        <v>2.27621203911157</v>
      </c>
      <c r="G13" t="n">
        <v>54.749</v>
      </c>
      <c r="H13" t="n">
        <v>38.4001405605591</v>
      </c>
      <c r="I13" t="n">
        <v>58.2304936670168</v>
      </c>
      <c r="J13" t="n">
        <v>3.36936577242403</v>
      </c>
      <c r="K13" t="n">
        <v>11273030.19200069</v>
      </c>
      <c r="L13" t="n">
        <v>17094575.79115246</v>
      </c>
      <c r="M13" t="n">
        <v>989136.0168468296</v>
      </c>
      <c r="N13" t="n">
        <v>4734672.68064029</v>
      </c>
      <c r="O13" t="n">
        <v>6538357.511360399</v>
      </c>
      <c r="P13" t="n">
        <v>13810067.86021118</v>
      </c>
      <c r="Q13" t="n">
        <v>12100610.28109593</v>
      </c>
      <c r="R13" t="n">
        <v>50.2</v>
      </c>
      <c r="S13" t="n">
        <v>63.522</v>
      </c>
      <c r="T13" t="n">
        <v>156</v>
      </c>
      <c r="U13" t="n">
        <v>89.87793605938668</v>
      </c>
      <c r="V13" t="n">
        <v>118.4935715900104</v>
      </c>
      <c r="W13" t="n">
        <v>208.3715076493971</v>
      </c>
      <c r="X13" t="n">
        <v>52.07980230985521</v>
      </c>
      <c r="Y13" t="n">
        <v>72.1502981752718</v>
      </c>
      <c r="Z13" t="n">
        <v>124.230100485127</v>
      </c>
      <c r="AA13" t="n">
        <v>4.065461307749629</v>
      </c>
      <c r="AB13" t="n">
        <v>27.00943976899292</v>
      </c>
      <c r="AC13" t="inlineStr">
        <is>
          <t>GBD 2019 estimates for Ghana</t>
        </is>
      </c>
      <c r="AD13" t="n">
        <v>769.3</v>
      </c>
      <c r="AE13" t="n">
        <v>155</v>
      </c>
      <c r="AF13" t="n">
        <v>233.2338896053042</v>
      </c>
      <c r="AG13" t="n">
        <v>9315.179341877812</v>
      </c>
      <c r="AH13" t="inlineStr">
        <is>
          <t>GBD 2019 + WHO estimates</t>
        </is>
      </c>
      <c r="AI13" t="inlineStr">
        <is>
          <t>Cause-specific rates based on epidemiological trends</t>
        </is>
      </c>
    </row>
    <row r="14">
      <c r="A14" t="n">
        <v>2017</v>
      </c>
      <c r="B14" t="inlineStr"/>
      <c r="C14" t="inlineStr">
        <is>
          <t>Ghana</t>
        </is>
      </c>
      <c r="D14" t="inlineStr">
        <is>
          <t>YOUR_PM25_DATA_SOURCE</t>
        </is>
      </c>
      <c r="E14" t="n">
        <v>30008354</v>
      </c>
      <c r="F14" t="n">
        <v>2.19535792776401</v>
      </c>
      <c r="G14" t="n">
        <v>55.407</v>
      </c>
      <c r="H14" t="n">
        <v>38.1355621837839</v>
      </c>
      <c r="I14" t="n">
        <v>58.4792804696985</v>
      </c>
      <c r="J14" t="n">
        <v>3.38515734651757</v>
      </c>
      <c r="K14" t="n">
        <v>11443854.5</v>
      </c>
      <c r="L14" t="n">
        <v>17548669.49999999</v>
      </c>
      <c r="M14" t="n">
        <v>1015829.999999999</v>
      </c>
      <c r="N14" t="n">
        <v>4806418.890000001</v>
      </c>
      <c r="O14" t="n">
        <v>6637435.61</v>
      </c>
      <c r="P14" t="n">
        <v>14177332.12499999</v>
      </c>
      <c r="Q14" t="n">
        <v>12422465.17499999</v>
      </c>
      <c r="R14" t="n">
        <v>48.1</v>
      </c>
      <c r="S14" t="n">
        <v>63.829</v>
      </c>
      <c r="T14" t="n">
        <v>152</v>
      </c>
      <c r="U14" t="n">
        <v>92.12488446087136</v>
      </c>
      <c r="V14" t="n">
        <v>120.8634430218106</v>
      </c>
      <c r="W14" t="n">
        <v>212.9883274826819</v>
      </c>
      <c r="X14" t="n">
        <v>53.01723875143261</v>
      </c>
      <c r="Y14" t="n">
        <v>71.06804370264273</v>
      </c>
      <c r="Z14" t="n">
        <v>124.0852824540753</v>
      </c>
      <c r="AA14" t="n">
        <v>4.154901456520121</v>
      </c>
      <c r="AB14" t="n">
        <v>27.95477016090766</v>
      </c>
      <c r="AC14" t="inlineStr">
        <is>
          <t>GBD 2019 estimates for Ghana</t>
        </is>
      </c>
      <c r="AD14" t="n">
        <v>755.8</v>
      </c>
      <c r="AE14" t="n">
        <v>155</v>
      </c>
      <c r="AF14" t="n">
        <v>236.7323979493837</v>
      </c>
      <c r="AG14" t="n">
        <v>9175.451651749647</v>
      </c>
      <c r="AH14" t="inlineStr">
        <is>
          <t>GBD 2019 + WHO estimates</t>
        </is>
      </c>
      <c r="AI14" t="inlineStr">
        <is>
          <t>Cause-specific rates based on epidemiological trends</t>
        </is>
      </c>
    </row>
    <row r="15">
      <c r="A15" t="n">
        <v>2018</v>
      </c>
      <c r="B15" t="inlineStr"/>
      <c r="C15" t="inlineStr">
        <is>
          <t>Ghana</t>
        </is>
      </c>
      <c r="D15" t="inlineStr">
        <is>
          <t>YOUR_PM25_DATA_SOURCE</t>
        </is>
      </c>
      <c r="E15" t="n">
        <v>30637585</v>
      </c>
      <c r="F15" t="n">
        <v>2.07517136640112</v>
      </c>
      <c r="G15" t="n">
        <v>56.06</v>
      </c>
      <c r="H15" t="n">
        <v>37.8459029627483</v>
      </c>
      <c r="I15" t="n">
        <v>58.7468098211202</v>
      </c>
      <c r="J15" t="n">
        <v>3.40728721613155</v>
      </c>
      <c r="K15" t="n">
        <v>11595070.68922953</v>
      </c>
      <c r="L15" t="n">
        <v>17998603.79373405</v>
      </c>
      <c r="M15" t="n">
        <v>1043910.517036437</v>
      </c>
      <c r="N15" t="n">
        <v>4869929.689476402</v>
      </c>
      <c r="O15" t="n">
        <v>6725140.999753127</v>
      </c>
      <c r="P15" t="n">
        <v>14542863.36233698</v>
      </c>
      <c r="Q15" t="n">
        <v>12743002.98296357</v>
      </c>
      <c r="R15" t="n">
        <v>46</v>
      </c>
      <c r="S15" t="n">
        <v>64.13800000000001</v>
      </c>
      <c r="T15" t="n">
        <v>148</v>
      </c>
      <c r="U15" t="n">
        <v>94.42800657239312</v>
      </c>
      <c r="V15" t="n">
        <v>123.2807118822468</v>
      </c>
      <c r="W15" t="n">
        <v>217.7087184546399</v>
      </c>
      <c r="X15" t="n">
        <v>53.97154904895839</v>
      </c>
      <c r="Y15" t="n">
        <v>70.00202304710308</v>
      </c>
      <c r="Z15" t="n">
        <v>123.9735720960615</v>
      </c>
      <c r="AA15" t="n">
        <v>4.246309288563564</v>
      </c>
      <c r="AB15" t="n">
        <v>28.93318711653943</v>
      </c>
      <c r="AC15" t="inlineStr">
        <is>
          <t>GBD 2019 estimates for Ghana</t>
        </is>
      </c>
      <c r="AD15" t="n">
        <v>744.8</v>
      </c>
      <c r="AE15" t="n">
        <v>155</v>
      </c>
      <c r="AF15" t="n">
        <v>240.2833839186245</v>
      </c>
      <c r="AG15" t="n">
        <v>9037.819876973403</v>
      </c>
      <c r="AH15" t="inlineStr">
        <is>
          <t>GBD 2019 + WHO estimates</t>
        </is>
      </c>
      <c r="AI15" t="inlineStr">
        <is>
          <t>Cause-specific rates based on epidemiological trends</t>
        </is>
      </c>
    </row>
    <row r="16">
      <c r="A16" t="n">
        <v>2019</v>
      </c>
      <c r="B16" t="inlineStr"/>
      <c r="C16" t="inlineStr">
        <is>
          <t>Ghana</t>
        </is>
      </c>
      <c r="D16" t="inlineStr">
        <is>
          <t>YOUR_PM25_DATA_SOURCE</t>
        </is>
      </c>
      <c r="E16" t="n">
        <v>31258945</v>
      </c>
      <c r="F16" t="n">
        <v>2.00780519953703</v>
      </c>
      <c r="G16" t="n">
        <v>56.707</v>
      </c>
      <c r="H16" t="n">
        <v>37.5512865197466</v>
      </c>
      <c r="I16" t="n">
        <v>59.0123019186988</v>
      </c>
      <c r="J16" t="n">
        <v>3.43641156155462</v>
      </c>
      <c r="K16" t="n">
        <v>11738136</v>
      </c>
      <c r="L16" t="n">
        <v>18446623</v>
      </c>
      <c r="M16" t="n">
        <v>1074186</v>
      </c>
      <c r="N16" t="n">
        <v>4930017.120000001</v>
      </c>
      <c r="O16" t="n">
        <v>6808118.880000001</v>
      </c>
      <c r="P16" t="n">
        <v>14909153.25</v>
      </c>
      <c r="Q16" t="n">
        <v>13064490.95</v>
      </c>
      <c r="R16" t="n">
        <v>43.9</v>
      </c>
      <c r="S16" t="n">
        <v>64.455</v>
      </c>
      <c r="T16" t="n">
        <v>144</v>
      </c>
      <c r="U16" t="n">
        <v>96.78870673670295</v>
      </c>
      <c r="V16" t="n">
        <v>125.7463261198917</v>
      </c>
      <c r="W16" t="n">
        <v>222.5350328565947</v>
      </c>
      <c r="X16" t="n">
        <v>54.94303693183964</v>
      </c>
      <c r="Y16" t="n">
        <v>68.95199270139653</v>
      </c>
      <c r="Z16" t="n">
        <v>123.8950296332362</v>
      </c>
      <c r="AA16" t="n">
        <v>4.339728092911963</v>
      </c>
      <c r="AB16" t="n">
        <v>29.94584866561831</v>
      </c>
      <c r="AC16" t="inlineStr">
        <is>
          <t>GBD 2019 estimates for Ghana</t>
        </is>
      </c>
      <c r="AD16" t="n">
        <v>734</v>
      </c>
      <c r="AE16" t="n">
        <v>155</v>
      </c>
      <c r="AF16" t="n">
        <v>243.8876346774038</v>
      </c>
      <c r="AG16" t="n">
        <v>8902.252578818801</v>
      </c>
      <c r="AH16" t="inlineStr">
        <is>
          <t>GBD 2019 + WHO estimates</t>
        </is>
      </c>
      <c r="AI16" t="inlineStr">
        <is>
          <t>Cause-specific rates based on epidemiological trends</t>
        </is>
      </c>
    </row>
    <row r="17">
      <c r="A17" t="n">
        <v>2020</v>
      </c>
      <c r="B17" t="inlineStr"/>
      <c r="C17" t="inlineStr">
        <is>
          <t>Ghana</t>
        </is>
      </c>
      <c r="D17" t="inlineStr">
        <is>
          <t>YOUR_PM25_DATA_SOURCE</t>
        </is>
      </c>
      <c r="E17" t="n">
        <v>31887809</v>
      </c>
      <c r="F17" t="n">
        <v>1.99181985149439</v>
      </c>
      <c r="G17" t="n">
        <v>57.349</v>
      </c>
      <c r="H17" t="n">
        <v>37.2244577857325</v>
      </c>
      <c r="I17" t="n">
        <v>59.306835725214</v>
      </c>
      <c r="J17" t="n">
        <v>3.46870648905354</v>
      </c>
      <c r="K17" t="n">
        <v>11870064.00000001</v>
      </c>
      <c r="L17" t="n">
        <v>18911650.5</v>
      </c>
      <c r="M17" t="n">
        <v>1106094.499999999</v>
      </c>
      <c r="N17" t="n">
        <v>4985426.880000003</v>
      </c>
      <c r="O17" t="n">
        <v>6884637.120000004</v>
      </c>
      <c r="P17" t="n">
        <v>15289832.375</v>
      </c>
      <c r="Q17" t="n">
        <v>13398667.325</v>
      </c>
      <c r="R17" t="n">
        <v>42</v>
      </c>
      <c r="S17" t="n">
        <v>64.309</v>
      </c>
      <c r="T17" t="n">
        <v>140</v>
      </c>
      <c r="U17" t="n">
        <v>99.20842440512051</v>
      </c>
      <c r="V17" t="n">
        <v>128.2612526422896</v>
      </c>
      <c r="W17" t="n">
        <v>227.4696770474101</v>
      </c>
      <c r="X17" t="n">
        <v>55.93201159661275</v>
      </c>
      <c r="Y17" t="n">
        <v>67.91771281087559</v>
      </c>
      <c r="Z17" t="n">
        <v>123.8497244074883</v>
      </c>
      <c r="AA17" t="n">
        <v>4.435202110956026</v>
      </c>
      <c r="AB17" t="n">
        <v>30.99395336891495</v>
      </c>
      <c r="AC17" t="inlineStr">
        <is>
          <t>GBD 2019 estimates for Ghana</t>
        </is>
      </c>
      <c r="AD17" t="n">
        <v>734.9</v>
      </c>
      <c r="AE17" t="n">
        <v>155</v>
      </c>
      <c r="AF17" t="n">
        <v>247.5459491975648</v>
      </c>
      <c r="AG17" t="n">
        <v>8768.718790136518</v>
      </c>
      <c r="AH17" t="inlineStr">
        <is>
          <t>GBD 2019 + WHO estimates</t>
        </is>
      </c>
      <c r="AI17" t="inlineStr">
        <is>
          <t>Cause-specific rates based on epidemiological trends</t>
        </is>
      </c>
    </row>
    <row r="18">
      <c r="A18" t="n">
        <v>2021</v>
      </c>
      <c r="B18" t="inlineStr"/>
      <c r="C18" t="inlineStr">
        <is>
          <t>Ghana</t>
        </is>
      </c>
      <c r="D18" t="inlineStr">
        <is>
          <t>YOUR_PM25_DATA_SOURCE</t>
        </is>
      </c>
      <c r="E18" t="n">
        <v>32518665</v>
      </c>
      <c r="F18" t="n">
        <v>1.95904584379494</v>
      </c>
      <c r="G18" t="n">
        <v>57.985</v>
      </c>
      <c r="H18" t="n">
        <v>36.8759587762905</v>
      </c>
      <c r="I18" t="n">
        <v>59.6173505277661</v>
      </c>
      <c r="J18" t="n">
        <v>3.50669069594339</v>
      </c>
      <c r="K18" t="n">
        <v>11991569.50000001</v>
      </c>
      <c r="L18" t="n">
        <v>19386766.49999999</v>
      </c>
      <c r="M18" t="n">
        <v>1140329</v>
      </c>
      <c r="N18" t="n">
        <v>5036459.190000003</v>
      </c>
      <c r="O18" t="n">
        <v>6955110.310000004</v>
      </c>
      <c r="P18" t="n">
        <v>15680403.87499999</v>
      </c>
      <c r="Q18" t="n">
        <v>13741727.22499999</v>
      </c>
      <c r="R18" t="n">
        <v>40.2</v>
      </c>
      <c r="S18" t="n">
        <v>64.286</v>
      </c>
      <c r="T18" t="n">
        <v>136</v>
      </c>
      <c r="U18" t="n">
        <v>101.6886350152485</v>
      </c>
      <c r="V18" t="n">
        <v>130.8264776951354</v>
      </c>
      <c r="W18" t="n">
        <v>232.5151127103839</v>
      </c>
      <c r="X18" t="n">
        <v>56.93878780535179</v>
      </c>
      <c r="Y18" t="n">
        <v>66.89894711871244</v>
      </c>
      <c r="Z18" t="n">
        <v>123.8377349240642</v>
      </c>
      <c r="AA18" t="n">
        <v>4.532776557397059</v>
      </c>
      <c r="AB18" t="n">
        <v>32.07874173682697</v>
      </c>
      <c r="AC18" t="inlineStr">
        <is>
          <t>GBD 2019 estimates for Ghana</t>
        </is>
      </c>
      <c r="AD18" t="n">
        <v>748.2</v>
      </c>
      <c r="AE18" t="n">
        <v>155</v>
      </c>
      <c r="AF18" t="n">
        <v>251.2591384355283</v>
      </c>
      <c r="AG18" t="n">
        <v>8637.188008284469</v>
      </c>
      <c r="AH18" t="inlineStr">
        <is>
          <t>GBD 2019 + WHO estimates</t>
        </is>
      </c>
      <c r="AI18" t="inlineStr">
        <is>
          <t>Cause-specific rates based on epidemiological trends</t>
        </is>
      </c>
    </row>
    <row r="19">
      <c r="A19" t="n">
        <v>2022</v>
      </c>
      <c r="B19" t="inlineStr"/>
      <c r="C19" t="inlineStr">
        <is>
          <t>Ghana</t>
        </is>
      </c>
      <c r="D19" t="inlineStr">
        <is>
          <t>YOUR_PM25_DATA_SOURCE</t>
        </is>
      </c>
      <c r="E19" t="n">
        <v>33149152</v>
      </c>
      <c r="F19" t="n">
        <v>1.92029034344132</v>
      </c>
      <c r="G19" t="n">
        <v>58.615</v>
      </c>
      <c r="H19" t="n">
        <v>36.5291305189345</v>
      </c>
      <c r="I19" t="n">
        <v>59.9093666106451</v>
      </c>
      <c r="J19" t="n">
        <v>3.56150287042033</v>
      </c>
      <c r="K19" t="n">
        <v>12109096.99999999</v>
      </c>
      <c r="L19" t="n">
        <v>19859446.99999999</v>
      </c>
      <c r="M19" t="n">
        <v>1180607.999999998</v>
      </c>
      <c r="N19" t="n">
        <v>5085820.739999994</v>
      </c>
      <c r="O19" t="n">
        <v>7023276.25999999</v>
      </c>
      <c r="P19" t="n">
        <v>16075193.24999999</v>
      </c>
      <c r="Q19" t="n">
        <v>14089248.54999999</v>
      </c>
      <c r="R19" t="n">
        <v>38.5</v>
      </c>
      <c r="S19" t="n">
        <v>65.246</v>
      </c>
      <c r="T19" t="n">
        <v>133</v>
      </c>
      <c r="U19" t="n">
        <v>104.2308508906297</v>
      </c>
      <c r="V19" t="n">
        <v>133.4430072490381</v>
      </c>
      <c r="W19" t="n">
        <v>237.6738581396678</v>
      </c>
      <c r="X19" t="n">
        <v>57.96368598584812</v>
      </c>
      <c r="Y19" t="n">
        <v>65.89546291193176</v>
      </c>
      <c r="Z19" t="n">
        <v>123.8591488977799</v>
      </c>
      <c r="AA19" t="n">
        <v>4.632497641659794</v>
      </c>
      <c r="AB19" t="n">
        <v>33.20149769761591</v>
      </c>
      <c r="AC19" t="inlineStr">
        <is>
          <t>GBD 2019 estimates for Ghana</t>
        </is>
      </c>
      <c r="AD19" t="n">
        <v>709.5</v>
      </c>
      <c r="AE19" t="n">
        <v>155</v>
      </c>
      <c r="AF19" t="n">
        <v>255.0280255120612</v>
      </c>
      <c r="AG19" t="n">
        <v>8507.630188160203</v>
      </c>
      <c r="AH19" t="inlineStr">
        <is>
          <t>GBD 2019 + WHO estimates</t>
        </is>
      </c>
      <c r="AI19" t="inlineStr">
        <is>
          <t>Cause-specific rates based on epidemiological trends</t>
        </is>
      </c>
    </row>
    <row r="20">
      <c r="A20" t="n">
        <v>2023</v>
      </c>
      <c r="B20" t="inlineStr"/>
      <c r="C20" t="inlineStr">
        <is>
          <t>Ghana</t>
        </is>
      </c>
      <c r="D20" t="inlineStr">
        <is>
          <t>YOUR_PM25_DATA_SOURCE</t>
        </is>
      </c>
      <c r="E20" t="n">
        <v>33787914</v>
      </c>
      <c r="F20" t="n">
        <v>1.90860289687983</v>
      </c>
      <c r="G20" t="n">
        <v>59.238</v>
      </c>
      <c r="H20" t="n">
        <v>36.1789188879787</v>
      </c>
      <c r="I20" t="n">
        <v>60.1892661973746</v>
      </c>
      <c r="J20" t="n">
        <v>3.6318149146467</v>
      </c>
      <c r="K20" t="n">
        <v>12224102</v>
      </c>
      <c r="L20" t="n">
        <v>20336697.5</v>
      </c>
      <c r="M20" t="n">
        <v>1227114.5</v>
      </c>
      <c r="N20" t="n">
        <v>5134122.84</v>
      </c>
      <c r="O20" t="n">
        <v>7089979.159999999</v>
      </c>
      <c r="P20" t="n">
        <v>16479637.625</v>
      </c>
      <c r="Q20" t="n">
        <v>14445967.875</v>
      </c>
      <c r="R20" t="n">
        <v>37.1</v>
      </c>
      <c r="S20" t="n">
        <v>65.498</v>
      </c>
      <c r="T20" t="n">
        <v>129</v>
      </c>
      <c r="U20" t="n">
        <v>106.8366221628955</v>
      </c>
      <c r="V20" t="n">
        <v>136.1118673940188</v>
      </c>
      <c r="W20" t="n">
        <v>242.9484895569143</v>
      </c>
      <c r="X20" t="n">
        <v>59.00703233359339</v>
      </c>
      <c r="Y20" t="n">
        <v>64.90703096825278</v>
      </c>
      <c r="Z20" t="n">
        <v>123.9140633018462</v>
      </c>
      <c r="AA20" t="n">
        <v>4.734412589776309</v>
      </c>
      <c r="AB20" t="n">
        <v>34.36355011703246</v>
      </c>
      <c r="AC20" t="inlineStr">
        <is>
          <t>GBD 2019 estimates for Ghana</t>
        </is>
      </c>
      <c r="AD20" t="n">
        <v>704</v>
      </c>
      <c r="AE20" t="n">
        <v>155</v>
      </c>
      <c r="AF20" t="n">
        <v>258.853445894742</v>
      </c>
      <c r="AG20" t="n">
        <v>8380.0157353378</v>
      </c>
      <c r="AH20" t="inlineStr">
        <is>
          <t>GBD 2019 + WHO estimates</t>
        </is>
      </c>
      <c r="AI20" t="inlineStr">
        <is>
          <t>Cause-specific rates based on epidemiological trends</t>
        </is>
      </c>
    </row>
    <row r="21">
      <c r="A21" t="n">
        <v>2024</v>
      </c>
      <c r="B21" t="inlineStr"/>
      <c r="C21" t="inlineStr">
        <is>
          <t>Ghana</t>
        </is>
      </c>
      <c r="D21" t="inlineStr">
        <is>
          <t>YOUR_PM25_DATA_SOURCE</t>
        </is>
      </c>
      <c r="E21" t="n">
        <v>34427414</v>
      </c>
      <c r="F21" t="n">
        <v>1.87500010333119</v>
      </c>
      <c r="G21" t="n">
        <v>59.854</v>
      </c>
      <c r="H21" t="n">
        <v>35.8181308043952</v>
      </c>
      <c r="I21" t="n">
        <v>60.4735365902524</v>
      </c>
      <c r="J21" t="n">
        <v>3.70833260535242</v>
      </c>
      <c r="K21" t="n">
        <v>12331256.17909067</v>
      </c>
      <c r="L21" t="n">
        <v>20819474.80236768</v>
      </c>
      <c r="M21" t="n">
        <v>1276683.018541664</v>
      </c>
      <c r="N21" t="n">
        <v>5179127.59521808</v>
      </c>
      <c r="O21" t="n">
        <v>7152128.583872586</v>
      </c>
      <c r="P21" t="n">
        <v>16891289.12031742</v>
      </c>
      <c r="Q21" t="n">
        <v>14809341.64008065</v>
      </c>
      <c r="R21" t="inlineStr"/>
      <c r="S21" t="inlineStr"/>
      <c r="T21" t="inlineStr"/>
      <c r="U21" t="n">
        <v>109.5075377169678</v>
      </c>
      <c r="V21" t="n">
        <v>138.8341047418992</v>
      </c>
      <c r="W21" t="n">
        <v>248.341642458867</v>
      </c>
      <c r="X21" t="n">
        <v>60.06915891559807</v>
      </c>
      <c r="Y21" t="n">
        <v>63.93342550372899</v>
      </c>
      <c r="Z21" t="n">
        <v>124.0025844193271</v>
      </c>
      <c r="AA21" t="n">
        <v>4.838569666751389</v>
      </c>
      <c r="AB21" t="n">
        <v>35.5662743711286</v>
      </c>
      <c r="AC21" t="inlineStr">
        <is>
          <t>GBD 2019 estimates for Ghana</t>
        </is>
      </c>
      <c r="AD21" t="n">
        <v>699</v>
      </c>
      <c r="AE21" t="n">
        <v>155</v>
      </c>
      <c r="AF21" t="n">
        <v>262.7362475831632</v>
      </c>
      <c r="AG21" t="n">
        <v>8254.315499307733</v>
      </c>
      <c r="AH21" t="inlineStr">
        <is>
          <t>GBD 2019 + WHO estimates</t>
        </is>
      </c>
      <c r="AI21" t="inlineStr">
        <is>
          <t>Cause-specific rates based on epidemiological trends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health_outcome</t>
        </is>
      </c>
      <c r="B1" s="1" t="inlineStr">
        <is>
          <t>cr_coefficient</t>
        </is>
      </c>
      <c r="C1" s="1" t="inlineStr">
        <is>
          <t>source</t>
        </is>
      </c>
      <c r="D1" s="1" t="inlineStr">
        <is>
          <t>tmrel</t>
        </is>
      </c>
      <c r="E1" s="1" t="inlineStr">
        <is>
          <t>age_group</t>
        </is>
      </c>
    </row>
    <row r="2">
      <c r="A2" t="inlineStr">
        <is>
          <t>ihd_mortality</t>
        </is>
      </c>
      <c r="B2" t="n">
        <v>0.148</v>
      </c>
      <c r="C2" t="inlineStr">
        <is>
          <t>GBD 2019 IER</t>
        </is>
      </c>
      <c r="D2" t="n">
        <v>2.4</v>
      </c>
      <c r="E2" t="inlineStr">
        <is>
          <t>25+</t>
        </is>
      </c>
    </row>
    <row r="3">
      <c r="A3" t="inlineStr">
        <is>
          <t>stroke_mortality</t>
        </is>
      </c>
      <c r="B3" t="n">
        <v>0.106</v>
      </c>
      <c r="C3" t="inlineStr">
        <is>
          <t>GBD 2019 IER</t>
        </is>
      </c>
      <c r="D3" t="n">
        <v>2.4</v>
      </c>
      <c r="E3" t="inlineStr">
        <is>
          <t>25+</t>
        </is>
      </c>
    </row>
    <row r="4">
      <c r="A4" t="inlineStr">
        <is>
          <t>copd_mortality</t>
        </is>
      </c>
      <c r="B4" t="n">
        <v>0.138</v>
      </c>
      <c r="C4" t="inlineStr">
        <is>
          <t>GBD 2019 IER</t>
        </is>
      </c>
      <c r="D4" t="n">
        <v>2.4</v>
      </c>
      <c r="E4" t="inlineStr">
        <is>
          <t>25+</t>
        </is>
      </c>
    </row>
    <row r="5">
      <c r="A5" t="inlineStr">
        <is>
          <t>lri_mortality</t>
        </is>
      </c>
      <c r="B5" t="n">
        <v>0.096</v>
      </c>
      <c r="C5" t="inlineStr">
        <is>
          <t>GBD 2019 IER</t>
        </is>
      </c>
      <c r="D5" t="n">
        <v>2.4</v>
      </c>
      <c r="E5" t="inlineStr">
        <is>
          <t>All ages</t>
        </is>
      </c>
    </row>
    <row r="6">
      <c r="A6" t="inlineStr">
        <is>
          <t>lung_cancer_mortality</t>
        </is>
      </c>
      <c r="B6" t="n">
        <v>0.162</v>
      </c>
      <c r="C6" t="inlineStr">
        <is>
          <t>GBD 2019 IER</t>
        </is>
      </c>
      <c r="D6" t="n">
        <v>2.4</v>
      </c>
      <c r="E6" t="inlineStr">
        <is>
          <t>25+</t>
        </is>
      </c>
    </row>
    <row r="7">
      <c r="A7" t="inlineStr">
        <is>
          <t>diabetes_mortality</t>
        </is>
      </c>
      <c r="B7" t="n">
        <v>0.115</v>
      </c>
      <c r="C7" t="inlineStr">
        <is>
          <t>Liu et al. 2019</t>
        </is>
      </c>
      <c r="D7" t="n">
        <v>2.4</v>
      </c>
      <c r="E7" t="inlineStr">
        <is>
          <t>25+</t>
        </is>
      </c>
    </row>
    <row r="8">
      <c r="A8" t="inlineStr">
        <is>
          <t>cardiovascular_mortality</t>
        </is>
      </c>
      <c r="B8" t="n">
        <v>0.127</v>
      </c>
      <c r="C8" t="inlineStr">
        <is>
          <t>GBD 2019 IER</t>
        </is>
      </c>
      <c r="D8" t="n">
        <v>2.4</v>
      </c>
      <c r="E8" t="inlineStr">
        <is>
          <t>25+</t>
        </is>
      </c>
    </row>
    <row r="9">
      <c r="A9" t="inlineStr">
        <is>
          <t>respiratory_mortality</t>
        </is>
      </c>
      <c r="B9" t="n">
        <v>0.117</v>
      </c>
      <c r="C9" t="inlineStr">
        <is>
          <t>GBD 2019 IER</t>
        </is>
      </c>
      <c r="D9" t="n">
        <v>2.4</v>
      </c>
      <c r="E9" t="inlineStr">
        <is>
          <t>All ages</t>
        </is>
      </c>
    </row>
    <row r="10">
      <c r="A10" t="inlineStr">
        <is>
          <t>asthma_incidence</t>
        </is>
      </c>
      <c r="B10" t="n">
        <v>0.082</v>
      </c>
      <c r="C10" t="inlineStr">
        <is>
          <t>WHO HRAPIE 2013</t>
        </is>
      </c>
      <c r="D10" t="n">
        <v>2.4</v>
      </c>
      <c r="E10" t="inlineStr">
        <is>
          <t>All ages</t>
        </is>
      </c>
    </row>
    <row r="11">
      <c r="A11" t="inlineStr">
        <is>
          <t>copd_incidence</t>
        </is>
      </c>
      <c r="B11" t="n">
        <v>0.094</v>
      </c>
      <c r="C11" t="inlineStr">
        <is>
          <t>WHO HRAPIE 2013</t>
        </is>
      </c>
      <c r="D11" t="n">
        <v>2.4</v>
      </c>
      <c r="E11" t="inlineStr">
        <is>
          <t>25+</t>
        </is>
      </c>
    </row>
    <row r="12">
      <c r="A12" t="inlineStr">
        <is>
          <t>child_ari_incidence</t>
        </is>
      </c>
      <c r="B12" t="n">
        <v>0.096</v>
      </c>
      <c r="C12" t="inlineStr">
        <is>
          <t>Meta-analysis 2020</t>
        </is>
      </c>
      <c r="D12" t="n">
        <v>2.4</v>
      </c>
      <c r="E12" t="inlineStr">
        <is>
          <t>&lt;5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ihd_mortality_rate</t>
        </is>
      </c>
      <c r="C1" s="1" t="inlineStr">
        <is>
          <t>stroke_mortality_rate</t>
        </is>
      </c>
      <c r="D1" s="1" t="inlineStr">
        <is>
          <t>cardiovascular_mortality_rate</t>
        </is>
      </c>
      <c r="E1" s="1" t="inlineStr">
        <is>
          <t>copd_mortality_rate</t>
        </is>
      </c>
      <c r="F1" s="1" t="inlineStr">
        <is>
          <t>respiratory_mortality_rate</t>
        </is>
      </c>
      <c r="G1" s="1" t="inlineStr">
        <is>
          <t>lung_cancer_mortality_rate</t>
        </is>
      </c>
      <c r="H1" s="1" t="inlineStr">
        <is>
          <t>diabetes_mortality_rate</t>
        </is>
      </c>
      <c r="I1" s="1" t="inlineStr">
        <is>
          <t>all_cause_mortality_rate_reference</t>
        </is>
      </c>
      <c r="J1" s="1" t="inlineStr">
        <is>
          <t>ihd_mortality_rate_pct_change</t>
        </is>
      </c>
      <c r="K1" s="1" t="inlineStr">
        <is>
          <t>stroke_mortality_rate_pct_change</t>
        </is>
      </c>
      <c r="L1" s="1" t="inlineStr">
        <is>
          <t>cardiovascular_mortality_rate_pct_change</t>
        </is>
      </c>
      <c r="M1" s="1" t="inlineStr">
        <is>
          <t>copd_mortality_rate_pct_change</t>
        </is>
      </c>
      <c r="N1" s="1" t="inlineStr">
        <is>
          <t>respiratory_mortality_rate_pct_change</t>
        </is>
      </c>
      <c r="O1" s="1" t="inlineStr">
        <is>
          <t>lung_cancer_mortality_rate_pct_change</t>
        </is>
      </c>
      <c r="P1" s="1" t="inlineStr">
        <is>
          <t>diabetes_mortality_rate_pct_change</t>
        </is>
      </c>
      <c r="Q1" s="1" t="inlineStr">
        <is>
          <t>all_cause_mortality_rate_reference_pct_change</t>
        </is>
      </c>
    </row>
    <row r="2">
      <c r="A2" t="n">
        <v>2005</v>
      </c>
      <c r="B2" t="n">
        <v>68.5</v>
      </c>
      <c r="C2" t="n">
        <v>95.3</v>
      </c>
      <c r="D2" t="n">
        <v>163.8</v>
      </c>
      <c r="E2" t="n">
        <v>42.8</v>
      </c>
      <c r="F2" t="n">
        <v>128</v>
      </c>
      <c r="G2" t="n">
        <v>3.2</v>
      </c>
      <c r="H2" t="n">
        <v>18.5</v>
      </c>
      <c r="I2" t="n">
        <v>931.4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2006</v>
      </c>
      <c r="B3" t="n">
        <v>70.21249999999999</v>
      </c>
      <c r="C3" t="n">
        <v>97.206</v>
      </c>
      <c r="D3" t="n">
        <v>167.4185</v>
      </c>
      <c r="E3" t="n">
        <v>43.5704</v>
      </c>
      <c r="F3" t="n">
        <v>127.4924</v>
      </c>
      <c r="G3" t="n">
        <v>3.2704</v>
      </c>
      <c r="H3" t="n">
        <v>19.1475</v>
      </c>
      <c r="I3" t="n">
        <v>916.1</v>
      </c>
      <c r="J3" t="n">
        <v>2.499999999999991</v>
      </c>
      <c r="K3" t="n">
        <v>2.000000000000002</v>
      </c>
      <c r="L3" t="n">
        <v>2.209096459096438</v>
      </c>
      <c r="M3" t="n">
        <v>1.800000000000002</v>
      </c>
      <c r="N3" t="n">
        <v>-0.3965624999999973</v>
      </c>
      <c r="O3" t="n">
        <v>2.200000000000002</v>
      </c>
      <c r="P3" t="n">
        <v>3.499999999999992</v>
      </c>
      <c r="Q3" t="n">
        <v>-1.642688426025329</v>
      </c>
    </row>
    <row r="4">
      <c r="A4" t="n">
        <v>2007</v>
      </c>
      <c r="B4" t="n">
        <v>71.96781249999999</v>
      </c>
      <c r="C4" t="n">
        <v>99.15012</v>
      </c>
      <c r="D4" t="n">
        <v>171.1179325</v>
      </c>
      <c r="E4" t="n">
        <v>44.3546672</v>
      </c>
      <c r="F4" t="n">
        <v>127.0178372</v>
      </c>
      <c r="G4" t="n">
        <v>3.3423488</v>
      </c>
      <c r="H4" t="n">
        <v>19.8176625</v>
      </c>
      <c r="I4" t="n">
        <v>901.5</v>
      </c>
      <c r="J4" t="n">
        <v>5.062499999999992</v>
      </c>
      <c r="K4" t="n">
        <v>4.039999999999999</v>
      </c>
      <c r="L4" t="n">
        <v>4.467602258852255</v>
      </c>
      <c r="M4" t="n">
        <v>3.632400000000002</v>
      </c>
      <c r="N4" t="n">
        <v>-0.7673146874999981</v>
      </c>
      <c r="O4" t="n">
        <v>4.448399999999997</v>
      </c>
      <c r="P4" t="n">
        <v>7.122499999999987</v>
      </c>
      <c r="Q4" t="n">
        <v>-3.210221172428596</v>
      </c>
    </row>
    <row r="5">
      <c r="A5" t="n">
        <v>2008</v>
      </c>
      <c r="B5" t="n">
        <v>73.76700781249998</v>
      </c>
      <c r="C5" t="n">
        <v>101.1331224</v>
      </c>
      <c r="D5" t="n">
        <v>174.9001302125</v>
      </c>
      <c r="E5" t="n">
        <v>45.1530512096</v>
      </c>
      <c r="F5" t="n">
        <v>126.5762736596</v>
      </c>
      <c r="G5" t="n">
        <v>3.4158804736</v>
      </c>
      <c r="H5" t="n">
        <v>20.51128068749999</v>
      </c>
      <c r="I5" t="n">
        <v>888.4</v>
      </c>
      <c r="J5" t="n">
        <v>7.689062499999966</v>
      </c>
      <c r="K5" t="n">
        <v>6.120800000000015</v>
      </c>
      <c r="L5" t="n">
        <v>6.776636271367509</v>
      </c>
      <c r="M5" t="n">
        <v>5.497783200000006</v>
      </c>
      <c r="N5" t="n">
        <v>-1.112286203437507</v>
      </c>
      <c r="O5" t="n">
        <v>6.746264800000001</v>
      </c>
      <c r="P5" t="n">
        <v>10.87178749999998</v>
      </c>
      <c r="Q5" t="n">
        <v>-4.61670603392742</v>
      </c>
    </row>
    <row r="6">
      <c r="A6" t="n">
        <v>2009</v>
      </c>
      <c r="B6" t="n">
        <v>75.61118300781247</v>
      </c>
      <c r="C6" t="n">
        <v>103.155784848</v>
      </c>
      <c r="D6" t="n">
        <v>178.7669678558125</v>
      </c>
      <c r="E6" t="n">
        <v>45.9658061313728</v>
      </c>
      <c r="F6" t="n">
        <v>126.1676802446228</v>
      </c>
      <c r="G6" t="n">
        <v>3.4910298440192</v>
      </c>
      <c r="H6" t="n">
        <v>21.2291755115625</v>
      </c>
      <c r="I6" t="n">
        <v>874.1</v>
      </c>
      <c r="J6" t="n">
        <v>10.38128906249995</v>
      </c>
      <c r="K6" t="n">
        <v>8.243215999999997</v>
      </c>
      <c r="L6" t="n">
        <v>9.137343013316524</v>
      </c>
      <c r="M6" t="n">
        <v>7.396743297600006</v>
      </c>
      <c r="N6" t="n">
        <v>-1.431499808888437</v>
      </c>
      <c r="O6" t="n">
        <v>9.094682625600004</v>
      </c>
      <c r="P6" t="n">
        <v>14.75230006249997</v>
      </c>
      <c r="Q6" t="n">
        <v>-6.152029203349796</v>
      </c>
    </row>
    <row r="7">
      <c r="A7" t="n">
        <v>2010</v>
      </c>
      <c r="B7" t="n">
        <v>77.50146258300778</v>
      </c>
      <c r="C7" t="n">
        <v>105.21890054496</v>
      </c>
      <c r="D7" t="n">
        <v>182.7203631279678</v>
      </c>
      <c r="E7" t="n">
        <v>46.79319064173751</v>
      </c>
      <c r="F7" t="n">
        <v>125.7920366432888</v>
      </c>
      <c r="G7" t="n">
        <v>3.567832500587623</v>
      </c>
      <c r="H7" t="n">
        <v>21.97219665446718</v>
      </c>
      <c r="I7" t="n">
        <v>860.4</v>
      </c>
      <c r="J7" t="n">
        <v>13.14082128906244</v>
      </c>
      <c r="K7" t="n">
        <v>10.40808032</v>
      </c>
      <c r="L7" t="n">
        <v>11.55089324051757</v>
      </c>
      <c r="M7" t="n">
        <v>9.329884676956812</v>
      </c>
      <c r="N7" t="n">
        <v>-1.724971372430661</v>
      </c>
      <c r="O7" t="n">
        <v>11.4947656433632</v>
      </c>
      <c r="P7" t="n">
        <v>18.76863056468745</v>
      </c>
      <c r="Q7" t="n">
        <v>-7.62293321881039</v>
      </c>
    </row>
    <row r="8">
      <c r="A8" t="n">
        <v>2011</v>
      </c>
      <c r="B8" t="n">
        <v>79.43899914758296</v>
      </c>
      <c r="C8" t="n">
        <v>107.3232785558592</v>
      </c>
      <c r="D8" t="n">
        <v>186.7622777034422</v>
      </c>
      <c r="E8" t="n">
        <v>47.63546807328878</v>
      </c>
      <c r="F8" t="n">
        <v>125.4493313848168</v>
      </c>
      <c r="G8" t="n">
        <v>3.646324815600551</v>
      </c>
      <c r="H8" t="n">
        <v>22.74122353737352</v>
      </c>
      <c r="I8" t="n">
        <v>848.5</v>
      </c>
      <c r="J8" t="n">
        <v>15.969341821289</v>
      </c>
      <c r="K8" t="n">
        <v>12.61624192640001</v>
      </c>
      <c r="L8" t="n">
        <v>14.018484556436</v>
      </c>
      <c r="M8" t="n">
        <v>11.29782260114203</v>
      </c>
      <c r="N8" t="n">
        <v>-1.992709855611907</v>
      </c>
      <c r="O8" t="n">
        <v>13.9476504875172</v>
      </c>
      <c r="P8" t="n">
        <v>22.9255326344515</v>
      </c>
      <c r="Q8" t="n">
        <v>-8.900579772385653</v>
      </c>
    </row>
    <row r="9">
      <c r="A9" t="n">
        <v>2012</v>
      </c>
      <c r="B9" t="n">
        <v>81.42497412627255</v>
      </c>
      <c r="C9" t="n">
        <v>109.4697441269764</v>
      </c>
      <c r="D9" t="n">
        <v>190.8947182532489</v>
      </c>
      <c r="E9" t="n">
        <v>48.49290649860799</v>
      </c>
      <c r="F9" t="n">
        <v>125.139561860463</v>
      </c>
      <c r="G9" t="n">
        <v>3.726543961543763</v>
      </c>
      <c r="H9" t="n">
        <v>23.5371663611816</v>
      </c>
      <c r="I9" t="n">
        <v>833.3</v>
      </c>
      <c r="J9" t="n">
        <v>18.86857536682123</v>
      </c>
      <c r="K9" t="n">
        <v>14.868566764928</v>
      </c>
      <c r="L9" t="n">
        <v>16.5413420349505</v>
      </c>
      <c r="M9" t="n">
        <v>13.3011834079626</v>
      </c>
      <c r="N9" t="n">
        <v>-2.234717296513244</v>
      </c>
      <c r="O9" t="n">
        <v>16.45449879824259</v>
      </c>
      <c r="P9" t="n">
        <v>27.22792627665729</v>
      </c>
      <c r="Q9" t="n">
        <v>-10.5325316727507</v>
      </c>
    </row>
    <row r="10">
      <c r="A10" t="n">
        <v>2013</v>
      </c>
      <c r="B10" t="n">
        <v>83.46059847942934</v>
      </c>
      <c r="C10" t="n">
        <v>111.6591390095159</v>
      </c>
      <c r="D10" t="n">
        <v>195.1197374889452</v>
      </c>
      <c r="E10" t="n">
        <v>49.36577881558293</v>
      </c>
      <c r="F10" t="n">
        <v>124.8627343470102</v>
      </c>
      <c r="G10" t="n">
        <v>3.808527928697726</v>
      </c>
      <c r="H10" t="n">
        <v>24.36096718382295</v>
      </c>
      <c r="I10" t="n">
        <v>816.9</v>
      </c>
      <c r="J10" t="n">
        <v>21.84028975099173</v>
      </c>
      <c r="K10" t="n">
        <v>17.16593810022658</v>
      </c>
      <c r="L10" t="n">
        <v>19.12071885771993</v>
      </c>
      <c r="M10" t="n">
        <v>15.34060470930592</v>
      </c>
      <c r="N10" t="n">
        <v>-2.450988791398312</v>
      </c>
      <c r="O10" t="n">
        <v>19.01649777180392</v>
      </c>
      <c r="P10" t="n">
        <v>31.68090369634029</v>
      </c>
      <c r="Q10" t="n">
        <v>-12.2933218810393</v>
      </c>
    </row>
    <row r="11">
      <c r="A11" t="n">
        <v>2014</v>
      </c>
      <c r="B11" t="n">
        <v>85.54711344141506</v>
      </c>
      <c r="C11" t="n">
        <v>113.8923217897062</v>
      </c>
      <c r="D11" t="n">
        <v>199.4394352311213</v>
      </c>
      <c r="E11" t="n">
        <v>50.25436283426342</v>
      </c>
      <c r="F11" t="n">
        <v>124.6188640327192</v>
      </c>
      <c r="G11" t="n">
        <v>3.892315543129076</v>
      </c>
      <c r="H11" t="n">
        <v>25.21360103525676</v>
      </c>
      <c r="I11" t="n">
        <v>798.1</v>
      </c>
      <c r="J11" t="n">
        <v>24.88629699476652</v>
      </c>
      <c r="K11" t="n">
        <v>19.5092568622311</v>
      </c>
      <c r="L11" t="n">
        <v>21.75789696649652</v>
      </c>
      <c r="M11" t="n">
        <v>17.41673559407342</v>
      </c>
      <c r="N11" t="n">
        <v>-2.641512474438101</v>
      </c>
      <c r="O11" t="n">
        <v>21.63486072278362</v>
      </c>
      <c r="P11" t="n">
        <v>36.2897353257122</v>
      </c>
      <c r="Q11" t="n">
        <v>-14.311788705175</v>
      </c>
    </row>
    <row r="12">
      <c r="A12" t="n">
        <v>2015</v>
      </c>
      <c r="B12" t="n">
        <v>87.68579127745043</v>
      </c>
      <c r="C12" t="n">
        <v>116.1701682255004</v>
      </c>
      <c r="D12" t="n">
        <v>203.8559595029508</v>
      </c>
      <c r="E12" t="n">
        <v>51.15894136528017</v>
      </c>
      <c r="F12" t="n">
        <v>124.4079750457592</v>
      </c>
      <c r="G12" t="n">
        <v>3.977946485077916</v>
      </c>
      <c r="H12" t="n">
        <v>26.09607707149074</v>
      </c>
      <c r="I12" t="n">
        <v>784.5</v>
      </c>
      <c r="J12" t="n">
        <v>28.00845441963567</v>
      </c>
      <c r="K12" t="n">
        <v>21.89944199947573</v>
      </c>
      <c r="L12" t="n">
        <v>24.4541877307392</v>
      </c>
      <c r="M12" t="n">
        <v>19.53023683476676</v>
      </c>
      <c r="N12" t="n">
        <v>-2.806269495500657</v>
      </c>
      <c r="O12" t="n">
        <v>24.31082765868486</v>
      </c>
      <c r="P12" t="n">
        <v>41.0598760621121</v>
      </c>
      <c r="Q12" t="n">
        <v>-15.7719561949753</v>
      </c>
    </row>
    <row r="13">
      <c r="A13" t="n">
        <v>2016</v>
      </c>
      <c r="B13" t="n">
        <v>89.87793605938668</v>
      </c>
      <c r="C13" t="n">
        <v>118.4935715900104</v>
      </c>
      <c r="D13" t="n">
        <v>208.3715076493971</v>
      </c>
      <c r="E13" t="n">
        <v>52.07980230985521</v>
      </c>
      <c r="F13" t="n">
        <v>124.230100485127</v>
      </c>
      <c r="G13" t="n">
        <v>4.065461307749629</v>
      </c>
      <c r="H13" t="n">
        <v>27.00943976899292</v>
      </c>
      <c r="I13" t="n">
        <v>769.3</v>
      </c>
      <c r="J13" t="n">
        <v>31.20866578012656</v>
      </c>
      <c r="K13" t="n">
        <v>24.33743083946525</v>
      </c>
      <c r="L13" t="n">
        <v>27.21093263088954</v>
      </c>
      <c r="M13" t="n">
        <v>21.68178109779255</v>
      </c>
      <c r="N13" t="n">
        <v>-2.945233995994523</v>
      </c>
      <c r="O13" t="n">
        <v>27.04566586717592</v>
      </c>
      <c r="P13" t="n">
        <v>45.99697172428603</v>
      </c>
      <c r="Q13" t="n">
        <v>-17.40390809534035</v>
      </c>
    </row>
    <row r="14">
      <c r="A14" t="n">
        <v>2017</v>
      </c>
      <c r="B14" t="n">
        <v>92.12488446087136</v>
      </c>
      <c r="C14" t="n">
        <v>120.8634430218106</v>
      </c>
      <c r="D14" t="n">
        <v>212.9883274826819</v>
      </c>
      <c r="E14" t="n">
        <v>53.01723875143261</v>
      </c>
      <c r="F14" t="n">
        <v>124.0852824540753</v>
      </c>
      <c r="G14" t="n">
        <v>4.154901456520121</v>
      </c>
      <c r="H14" t="n">
        <v>27.95477016090766</v>
      </c>
      <c r="I14" t="n">
        <v>755.8</v>
      </c>
      <c r="J14" t="n">
        <v>34.48888242462971</v>
      </c>
      <c r="K14" t="n">
        <v>26.82417945625455</v>
      </c>
      <c r="L14" t="n">
        <v>30.02950395768127</v>
      </c>
      <c r="M14" t="n">
        <v>23.87205315755283</v>
      </c>
      <c r="N14" t="n">
        <v>-3.058373082753651</v>
      </c>
      <c r="O14" t="n">
        <v>29.84067051625377</v>
      </c>
      <c r="P14" t="n">
        <v>51.10686573463603</v>
      </c>
      <c r="Q14" t="n">
        <v>-18.85333905948035</v>
      </c>
    </row>
    <row r="15">
      <c r="A15" t="n">
        <v>2018</v>
      </c>
      <c r="B15" t="n">
        <v>94.42800657239312</v>
      </c>
      <c r="C15" t="n">
        <v>123.2807118822468</v>
      </c>
      <c r="D15" t="n">
        <v>217.7087184546399</v>
      </c>
      <c r="E15" t="n">
        <v>53.97154904895839</v>
      </c>
      <c r="F15" t="n">
        <v>123.9735720960615</v>
      </c>
      <c r="G15" t="n">
        <v>4.246309288563564</v>
      </c>
      <c r="H15" t="n">
        <v>28.93318711653943</v>
      </c>
      <c r="I15" t="n">
        <v>744.8</v>
      </c>
      <c r="J15" t="n">
        <v>37.85110448524542</v>
      </c>
      <c r="K15" t="n">
        <v>29.36066304537965</v>
      </c>
      <c r="L15" t="n">
        <v>32.91130552786319</v>
      </c>
      <c r="M15" t="n">
        <v>26.10175011438878</v>
      </c>
      <c r="N15" t="n">
        <v>-3.145646799951973</v>
      </c>
      <c r="O15" t="n">
        <v>32.69716526761137</v>
      </c>
      <c r="P15" t="n">
        <v>56.39560603534828</v>
      </c>
      <c r="Q15" t="n">
        <v>-20.03435688211295</v>
      </c>
    </row>
    <row r="16">
      <c r="A16" t="n">
        <v>2019</v>
      </c>
      <c r="B16" t="n">
        <v>96.78870673670295</v>
      </c>
      <c r="C16" t="n">
        <v>125.7463261198917</v>
      </c>
      <c r="D16" t="n">
        <v>222.5350328565947</v>
      </c>
      <c r="E16" t="n">
        <v>54.94303693183964</v>
      </c>
      <c r="F16" t="n">
        <v>123.8950296332362</v>
      </c>
      <c r="G16" t="n">
        <v>4.339728092911963</v>
      </c>
      <c r="H16" t="n">
        <v>29.94584866561831</v>
      </c>
      <c r="I16" t="n">
        <v>734</v>
      </c>
      <c r="J16" t="n">
        <v>41.29738209737657</v>
      </c>
      <c r="K16" t="n">
        <v>31.94787630628724</v>
      </c>
      <c r="L16" t="n">
        <v>35.85777341672447</v>
      </c>
      <c r="M16" t="n">
        <v>28.37158161644777</v>
      </c>
      <c r="N16" t="n">
        <v>-3.207008099034236</v>
      </c>
      <c r="O16" t="n">
        <v>35.61650290349883</v>
      </c>
      <c r="P16" t="n">
        <v>61.86945224658545</v>
      </c>
      <c r="Q16" t="n">
        <v>-21.19390165342495</v>
      </c>
    </row>
    <row r="17">
      <c r="A17" t="n">
        <v>2020</v>
      </c>
      <c r="B17" t="n">
        <v>99.20842440512051</v>
      </c>
      <c r="C17" t="n">
        <v>128.2612526422896</v>
      </c>
      <c r="D17" t="n">
        <v>227.4696770474101</v>
      </c>
      <c r="E17" t="n">
        <v>55.93201159661275</v>
      </c>
      <c r="F17" t="n">
        <v>123.8497244074883</v>
      </c>
      <c r="G17" t="n">
        <v>4.435202110956026</v>
      </c>
      <c r="H17" t="n">
        <v>30.99395336891495</v>
      </c>
      <c r="I17" t="n">
        <v>734.9</v>
      </c>
      <c r="J17" t="n">
        <v>44.82981664981096</v>
      </c>
      <c r="K17" t="n">
        <v>34.58683383241299</v>
      </c>
      <c r="L17" t="n">
        <v>38.87037670782054</v>
      </c>
      <c r="M17" t="n">
        <v>30.68227008554383</v>
      </c>
      <c r="N17" t="n">
        <v>-3.242402806649736</v>
      </c>
      <c r="O17" t="n">
        <v>38.6000659673758</v>
      </c>
      <c r="P17" t="n">
        <v>67.53488307521593</v>
      </c>
      <c r="Q17" t="n">
        <v>-21.09727292248228</v>
      </c>
    </row>
    <row r="18">
      <c r="A18" t="n">
        <v>2021</v>
      </c>
      <c r="B18" t="n">
        <v>101.6886350152485</v>
      </c>
      <c r="C18" t="n">
        <v>130.8264776951354</v>
      </c>
      <c r="D18" t="n">
        <v>232.5151127103839</v>
      </c>
      <c r="E18" t="n">
        <v>56.93878780535179</v>
      </c>
      <c r="F18" t="n">
        <v>123.8377349240642</v>
      </c>
      <c r="G18" t="n">
        <v>4.532776557397059</v>
      </c>
      <c r="H18" t="n">
        <v>32.07874173682697</v>
      </c>
      <c r="I18" t="n">
        <v>748.2</v>
      </c>
      <c r="J18" t="n">
        <v>48.45056206605622</v>
      </c>
      <c r="K18" t="n">
        <v>37.27857050906125</v>
      </c>
      <c r="L18" t="n">
        <v>41.95061826030761</v>
      </c>
      <c r="M18" t="n">
        <v>33.03455094708363</v>
      </c>
      <c r="N18" t="n">
        <v>-3.251769590574827</v>
      </c>
      <c r="O18" t="n">
        <v>41.64926741865808</v>
      </c>
      <c r="P18" t="n">
        <v>73.39860398284847</v>
      </c>
      <c r="Q18" t="n">
        <v>-19.66931500966287</v>
      </c>
    </row>
    <row r="19">
      <c r="A19" t="n">
        <v>2022</v>
      </c>
      <c r="B19" t="n">
        <v>104.2308508906297</v>
      </c>
      <c r="C19" t="n">
        <v>133.4430072490381</v>
      </c>
      <c r="D19" t="n">
        <v>237.6738581396678</v>
      </c>
      <c r="E19" t="n">
        <v>57.96368598584812</v>
      </c>
      <c r="F19" t="n">
        <v>123.8591488977799</v>
      </c>
      <c r="G19" t="n">
        <v>4.632497641659794</v>
      </c>
      <c r="H19" t="n">
        <v>33.20149769761591</v>
      </c>
      <c r="I19" t="n">
        <v>709.5</v>
      </c>
      <c r="J19" t="n">
        <v>52.16182611770761</v>
      </c>
      <c r="K19" t="n">
        <v>40.02414191924248</v>
      </c>
      <c r="L19" t="n">
        <v>45.10003549430268</v>
      </c>
      <c r="M19" t="n">
        <v>35.42917286413114</v>
      </c>
      <c r="N19" t="n">
        <v>-3.235039923609473</v>
      </c>
      <c r="O19" t="n">
        <v>44.76555130186857</v>
      </c>
      <c r="P19" t="n">
        <v>79.46755512224814</v>
      </c>
      <c r="Q19" t="n">
        <v>-23.82435044019755</v>
      </c>
    </row>
    <row r="20">
      <c r="A20" t="n">
        <v>2023</v>
      </c>
      <c r="B20" t="n">
        <v>106.8366221628955</v>
      </c>
      <c r="C20" t="n">
        <v>136.1118673940188</v>
      </c>
      <c r="D20" t="n">
        <v>242.9484895569143</v>
      </c>
      <c r="E20" t="n">
        <v>59.00703233359339</v>
      </c>
      <c r="F20" t="n">
        <v>123.9140633018462</v>
      </c>
      <c r="G20" t="n">
        <v>4.734412589776309</v>
      </c>
      <c r="H20" t="n">
        <v>34.36355011703246</v>
      </c>
      <c r="I20" t="n">
        <v>704</v>
      </c>
      <c r="J20" t="n">
        <v>55.96587177065029</v>
      </c>
      <c r="K20" t="n">
        <v>42.82462475762734</v>
      </c>
      <c r="L20" t="n">
        <v>48.32020119469735</v>
      </c>
      <c r="M20" t="n">
        <v>37.8668979756855</v>
      </c>
      <c r="N20" t="n">
        <v>-3.19213804543268</v>
      </c>
      <c r="O20" t="n">
        <v>47.95039343050966</v>
      </c>
      <c r="P20" t="n">
        <v>85.74891955152681</v>
      </c>
      <c r="Q20" t="n">
        <v>-24.41485935151385</v>
      </c>
    </row>
    <row r="21">
      <c r="A21" t="n">
        <v>2024</v>
      </c>
      <c r="B21" t="n">
        <v>109.5075377169678</v>
      </c>
      <c r="C21" t="n">
        <v>138.8341047418992</v>
      </c>
      <c r="D21" t="n">
        <v>248.341642458867</v>
      </c>
      <c r="E21" t="n">
        <v>60.06915891559807</v>
      </c>
      <c r="F21" t="n">
        <v>124.0025844193271</v>
      </c>
      <c r="G21" t="n">
        <v>4.838569666751389</v>
      </c>
      <c r="H21" t="n">
        <v>35.5662743711286</v>
      </c>
      <c r="I21" t="n">
        <v>699</v>
      </c>
      <c r="J21" t="n">
        <v>59.86501856491653</v>
      </c>
      <c r="K21" t="n">
        <v>45.68111725277988</v>
      </c>
      <c r="L21" t="n">
        <v>51.61272433386264</v>
      </c>
      <c r="M21" t="n">
        <v>40.34850213924783</v>
      </c>
      <c r="N21" t="n">
        <v>-3.122980922400731</v>
      </c>
      <c r="O21" t="n">
        <v>51.20530208598089</v>
      </c>
      <c r="P21" t="n">
        <v>92.25013173583028</v>
      </c>
      <c r="Q21" t="n">
        <v>-24.95168563452867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year</t>
        </is>
      </c>
      <c r="B2" t="inlineStr">
        <is>
          <t>Year of data</t>
        </is>
      </c>
      <c r="C2" t="inlineStr">
        <is>
          <t>See description</t>
        </is>
      </c>
      <c r="D2" t="inlineStr">
        <is>
          <t>Calculated/Estimated</t>
        </is>
      </c>
    </row>
    <row r="3">
      <c r="A3" t="inlineStr">
        <is>
          <t>pm25_concentration</t>
        </is>
      </c>
      <c r="B3" t="inlineStr">
        <is>
          <t>Annual average PM2.5 concentration (REPLACE WITH YOUR DATA)</t>
        </is>
      </c>
      <c r="C3" t="inlineStr">
        <is>
          <t>μg/m³</t>
        </is>
      </c>
      <c r="D3" t="inlineStr">
        <is>
          <t>USER PROVIDED</t>
        </is>
      </c>
    </row>
    <row r="4">
      <c r="A4" t="inlineStr">
        <is>
          <t>region</t>
        </is>
      </c>
      <c r="B4" t="inlineStr">
        <is>
          <t>Geographical region</t>
        </is>
      </c>
      <c r="C4" t="inlineStr">
        <is>
          <t>See description</t>
        </is>
      </c>
      <c r="D4" t="inlineStr">
        <is>
          <t>Calculated/Estimated</t>
        </is>
      </c>
    </row>
    <row r="5">
      <c r="A5" t="inlineStr">
        <is>
          <t>data_source_x</t>
        </is>
      </c>
      <c r="B5" t="inlineStr">
        <is>
          <t>No description available</t>
        </is>
      </c>
      <c r="C5" t="inlineStr">
        <is>
          <t>See description</t>
        </is>
      </c>
      <c r="D5" t="inlineStr">
        <is>
          <t>Calculated/Estimated</t>
        </is>
      </c>
    </row>
    <row r="6">
      <c r="A6" t="inlineStr">
        <is>
          <t>population_total</t>
        </is>
      </c>
      <c r="B6" t="inlineStr">
        <is>
          <t>Total population</t>
        </is>
      </c>
      <c r="C6" t="inlineStr">
        <is>
          <t>Persons</t>
        </is>
      </c>
      <c r="D6" t="inlineStr">
        <is>
          <t>World Bank API + demographic estimates</t>
        </is>
      </c>
    </row>
    <row r="7">
      <c r="A7" t="inlineStr">
        <is>
          <t>population_growth_rate</t>
        </is>
      </c>
      <c r="B7" t="inlineStr">
        <is>
          <t>Annual population growth rate</t>
        </is>
      </c>
      <c r="C7" t="inlineStr">
        <is>
          <t>Percent</t>
        </is>
      </c>
      <c r="D7" t="inlineStr">
        <is>
          <t>World Bank API + demographic estimates</t>
        </is>
      </c>
    </row>
    <row r="8">
      <c r="A8" t="inlineStr">
        <is>
          <t>urban_population_percent</t>
        </is>
      </c>
      <c r="B8" t="inlineStr">
        <is>
          <t>Percentage of population in urban areas</t>
        </is>
      </c>
      <c r="C8" t="inlineStr">
        <is>
          <t>Percent</t>
        </is>
      </c>
      <c r="D8" t="inlineStr">
        <is>
          <t>World Bank API + demographic estimates</t>
        </is>
      </c>
    </row>
    <row r="9">
      <c r="A9" t="inlineStr">
        <is>
          <t>pop_0_14_percent</t>
        </is>
      </c>
      <c r="B9" t="inlineStr">
        <is>
          <t>No description available</t>
        </is>
      </c>
      <c r="C9" t="inlineStr">
        <is>
          <t>Percent</t>
        </is>
      </c>
      <c r="D9" t="inlineStr">
        <is>
          <t>Calculated/Estimated</t>
        </is>
      </c>
    </row>
    <row r="10">
      <c r="A10" t="inlineStr">
        <is>
          <t>pop_15_64_percent</t>
        </is>
      </c>
      <c r="B10" t="inlineStr">
        <is>
          <t>No description available</t>
        </is>
      </c>
      <c r="C10" t="inlineStr">
        <is>
          <t>Percent</t>
        </is>
      </c>
      <c r="D10" t="inlineStr">
        <is>
          <t>Calculated/Estimated</t>
        </is>
      </c>
    </row>
    <row r="11">
      <c r="A11" t="inlineStr">
        <is>
          <t>pop_65plus_percent</t>
        </is>
      </c>
      <c r="B11" t="inlineStr">
        <is>
          <t>No description available</t>
        </is>
      </c>
      <c r="C11" t="inlineStr">
        <is>
          <t>Percent</t>
        </is>
      </c>
      <c r="D11" t="inlineStr">
        <is>
          <t>Calculated/Estimated</t>
        </is>
      </c>
    </row>
    <row r="12">
      <c r="A12" t="inlineStr">
        <is>
          <t>population_0_14</t>
        </is>
      </c>
      <c r="B12" t="inlineStr">
        <is>
          <t>Population aged 0-14 years</t>
        </is>
      </c>
      <c r="C12" t="inlineStr">
        <is>
          <t>Persons</t>
        </is>
      </c>
      <c r="D12" t="inlineStr">
        <is>
          <t>World Bank API + demographic estimates</t>
        </is>
      </c>
    </row>
    <row r="13">
      <c r="A13" t="inlineStr">
        <is>
          <t>population_15_64</t>
        </is>
      </c>
      <c r="B13" t="inlineStr">
        <is>
          <t>Population aged 15-64 years</t>
        </is>
      </c>
      <c r="C13" t="inlineStr">
        <is>
          <t>Persons</t>
        </is>
      </c>
      <c r="D13" t="inlineStr">
        <is>
          <t>World Bank API + demographic estimates</t>
        </is>
      </c>
    </row>
    <row r="14">
      <c r="A14" t="inlineStr">
        <is>
          <t>population_65plus</t>
        </is>
      </c>
      <c r="B14" t="inlineStr">
        <is>
          <t>Population aged 65+ years</t>
        </is>
      </c>
      <c r="C14" t="inlineStr">
        <is>
          <t>Persons</t>
        </is>
      </c>
      <c r="D14" t="inlineStr">
        <is>
          <t>World Bank API + demographic estimates</t>
        </is>
      </c>
    </row>
    <row r="15">
      <c r="A15" t="inlineStr">
        <is>
          <t>population_under5</t>
        </is>
      </c>
      <c r="B15" t="inlineStr">
        <is>
          <t>Population aged 0-4 years</t>
        </is>
      </c>
      <c r="C15" t="inlineStr">
        <is>
          <t>Persons</t>
        </is>
      </c>
      <c r="D15" t="inlineStr">
        <is>
          <t>World Bank API + demographic estimates</t>
        </is>
      </c>
    </row>
    <row r="16">
      <c r="A16" t="inlineStr">
        <is>
          <t>population_5_14</t>
        </is>
      </c>
      <c r="B16" t="inlineStr">
        <is>
          <t>Population aged 5-14 years</t>
        </is>
      </c>
      <c r="C16" t="inlineStr">
        <is>
          <t>Persons</t>
        </is>
      </c>
      <c r="D16" t="inlineStr">
        <is>
          <t>World Bank API + demographic estimates</t>
        </is>
      </c>
    </row>
    <row r="17">
      <c r="A17" t="inlineStr">
        <is>
          <t>population_25plus</t>
        </is>
      </c>
      <c r="B17" t="inlineStr">
        <is>
          <t>Population aged 25+ years</t>
        </is>
      </c>
      <c r="C17" t="inlineStr">
        <is>
          <t>Persons</t>
        </is>
      </c>
      <c r="D17" t="inlineStr">
        <is>
          <t>World Bank API + demographic estimates</t>
        </is>
      </c>
    </row>
    <row r="18">
      <c r="A18" t="inlineStr">
        <is>
          <t>population_30plus</t>
        </is>
      </c>
      <c r="B18" t="inlineStr">
        <is>
          <t>Population aged 30+ years</t>
        </is>
      </c>
      <c r="C18" t="inlineStr">
        <is>
          <t>Persons</t>
        </is>
      </c>
      <c r="D18" t="inlineStr">
        <is>
          <t>World Bank API + demographic estimates</t>
        </is>
      </c>
    </row>
    <row r="19">
      <c r="A19" t="inlineStr">
        <is>
          <t>under5_mortality_rate</t>
        </is>
      </c>
      <c r="B19" t="inlineStr">
        <is>
          <t>Under-5 mortality rate per 1,000 live births</t>
        </is>
      </c>
      <c r="C19" t="inlineStr">
        <is>
          <t>Per 1,000 live births</t>
        </is>
      </c>
      <c r="D19" t="inlineStr">
        <is>
          <t>World Bank API</t>
        </is>
      </c>
    </row>
    <row r="20">
      <c r="A20" t="inlineStr">
        <is>
          <t>life_expectancy</t>
        </is>
      </c>
      <c r="B20" t="inlineStr">
        <is>
          <t>Life expectancy at birth</t>
        </is>
      </c>
      <c r="C20" t="inlineStr">
        <is>
          <t>Years</t>
        </is>
      </c>
      <c r="D20" t="inlineStr">
        <is>
          <t>World Bank API</t>
        </is>
      </c>
    </row>
    <row r="21">
      <c r="A21" t="inlineStr">
        <is>
          <t>tuberculosis_incidence</t>
        </is>
      </c>
      <c r="B21" t="inlineStr">
        <is>
          <t>Tuberculosis incidence per 100,000 population</t>
        </is>
      </c>
      <c r="C21" t="inlineStr">
        <is>
          <t>Per 100,000 population</t>
        </is>
      </c>
      <c r="D21" t="inlineStr">
        <is>
          <t>World Bank API</t>
        </is>
      </c>
    </row>
    <row r="22">
      <c r="A22" t="inlineStr">
        <is>
          <t>ihd_mortality_rate</t>
        </is>
      </c>
      <c r="B22" t="inlineStr">
        <is>
          <t>Ischemic heart disease mortality rate per 100,000 (GBD-based)</t>
        </is>
      </c>
      <c r="C22" t="inlineStr">
        <is>
          <t>Per 100,000 population</t>
        </is>
      </c>
      <c r="D22" t="inlineStr">
        <is>
          <t>GBD 2019 estimates + Ghana trends</t>
        </is>
      </c>
    </row>
    <row r="23">
      <c r="A23" t="inlineStr">
        <is>
          <t>stroke_mortality_rate</t>
        </is>
      </c>
      <c r="B23" t="inlineStr">
        <is>
          <t>Stroke mortality rate per 100,000 (GBD-based)</t>
        </is>
      </c>
      <c r="C23" t="inlineStr">
        <is>
          <t>Per 100,000 population</t>
        </is>
      </c>
      <c r="D23" t="inlineStr">
        <is>
          <t>GBD 2019 estimates + Ghana trends</t>
        </is>
      </c>
    </row>
    <row r="24">
      <c r="A24" t="inlineStr">
        <is>
          <t>cardiovascular_mortality_rate</t>
        </is>
      </c>
      <c r="B24" t="inlineStr">
        <is>
          <t>Combined cardiovascular mortality (IHD+Stroke) per 100,000</t>
        </is>
      </c>
      <c r="C24" t="inlineStr">
        <is>
          <t>Per 100,000 population</t>
        </is>
      </c>
      <c r="D24" t="inlineStr">
        <is>
          <t>GBD 2019 estimates + Ghana trends</t>
        </is>
      </c>
    </row>
    <row r="25">
      <c r="A25" t="inlineStr">
        <is>
          <t>copd_mortality_rate</t>
        </is>
      </c>
      <c r="B25" t="inlineStr">
        <is>
          <t>COPD mortality rate per 100,000 (GBD-based)</t>
        </is>
      </c>
      <c r="C25" t="inlineStr">
        <is>
          <t>Per 100,000 population</t>
        </is>
      </c>
      <c r="D25" t="inlineStr">
        <is>
          <t>GBD 2019 estimates + Ghana trends</t>
        </is>
      </c>
    </row>
    <row r="26">
      <c r="A26" t="inlineStr">
        <is>
          <t>lri_mortality_rate</t>
        </is>
      </c>
      <c r="B26" t="inlineStr">
        <is>
          <t>Lower respiratory infection mortality rate per 100,000</t>
        </is>
      </c>
      <c r="C26" t="inlineStr">
        <is>
          <t>Per 100,000 population</t>
        </is>
      </c>
      <c r="D26" t="inlineStr">
        <is>
          <t>GBD 2019 estimates + Ghana trends</t>
        </is>
      </c>
    </row>
    <row r="27">
      <c r="A27" t="inlineStr">
        <is>
          <t>respiratory_mortality_rate</t>
        </is>
      </c>
      <c r="B27" t="inlineStr">
        <is>
          <t>Combined respiratory mortality (COPD+LRI) per 100,000</t>
        </is>
      </c>
      <c r="C27" t="inlineStr">
        <is>
          <t>Per 100,000 population</t>
        </is>
      </c>
      <c r="D27" t="inlineStr">
        <is>
          <t>GBD 2019 estimates + Ghana trends</t>
        </is>
      </c>
    </row>
    <row r="28">
      <c r="A28" t="inlineStr">
        <is>
          <t>lung_cancer_mortality_rate</t>
        </is>
      </c>
      <c r="B28" t="inlineStr">
        <is>
          <t>Lung cancer mortality rate per 100,000 (GBD-based)</t>
        </is>
      </c>
      <c r="C28" t="inlineStr">
        <is>
          <t>Per 100,000 population</t>
        </is>
      </c>
      <c r="D28" t="inlineStr">
        <is>
          <t>GBD 2019 estimates + Ghana trends</t>
        </is>
      </c>
    </row>
    <row r="29">
      <c r="A29" t="inlineStr">
        <is>
          <t>diabetes_mortality_rate</t>
        </is>
      </c>
      <c r="B29" t="inlineStr">
        <is>
          <t>Type 2 diabetes mortality rate per 100,000</t>
        </is>
      </c>
      <c r="C29" t="inlineStr">
        <is>
          <t>Per 100,000 population</t>
        </is>
      </c>
      <c r="D29" t="inlineStr">
        <is>
          <t>GBD 2019 estimates + Ghana trends</t>
        </is>
      </c>
    </row>
    <row r="30">
      <c r="A30" t="inlineStr">
        <is>
          <t>data_source_y</t>
        </is>
      </c>
      <c r="B30" t="inlineStr">
        <is>
          <t>No description available</t>
        </is>
      </c>
      <c r="C30" t="inlineStr">
        <is>
          <t>See description</t>
        </is>
      </c>
      <c r="D30" t="inlineStr">
        <is>
          <t>Calculated/Estimated</t>
        </is>
      </c>
    </row>
    <row r="31">
      <c r="A31" t="inlineStr">
        <is>
          <t>all_cause_mortality_rate_reference</t>
        </is>
      </c>
      <c r="B31" t="inlineStr">
        <is>
          <t>All-cause mortality rate (reference only, not used in calculations)</t>
        </is>
      </c>
      <c r="C31" t="inlineStr">
        <is>
          <t>Per 100,000 population</t>
        </is>
      </c>
      <c r="D31" t="inlineStr">
        <is>
          <t>Calculated/Estimated</t>
        </is>
      </c>
    </row>
    <row r="32">
      <c r="A32" t="inlineStr">
        <is>
          <t>asthma_incidence_rate</t>
        </is>
      </c>
      <c r="B32" t="inlineStr">
        <is>
          <t>Asthma incidence rate per 100,000</t>
        </is>
      </c>
      <c r="C32" t="inlineStr">
        <is>
          <t>Per 100,000 population</t>
        </is>
      </c>
      <c r="D32" t="inlineStr">
        <is>
          <t>Calculated/Estimated</t>
        </is>
      </c>
    </row>
    <row r="33">
      <c r="A33" t="inlineStr">
        <is>
          <t>copd_incidence_rate</t>
        </is>
      </c>
      <c r="B33" t="inlineStr">
        <is>
          <t>COPD incidence rate per 100,000</t>
        </is>
      </c>
      <c r="C33" t="inlineStr">
        <is>
          <t>Per 100,000 population</t>
        </is>
      </c>
      <c r="D33" t="inlineStr">
        <is>
          <t>Calculated/Estimated</t>
        </is>
      </c>
    </row>
    <row r="34">
      <c r="A34" t="inlineStr">
        <is>
          <t>child_ari_incidence_rate</t>
        </is>
      </c>
      <c r="B34" t="inlineStr">
        <is>
          <t>Child acute respiratory infections per 100,000 children</t>
        </is>
      </c>
      <c r="C34" t="inlineStr">
        <is>
          <t>Per 100,000 children</t>
        </is>
      </c>
      <c r="D34" t="inlineStr">
        <is>
          <t>Calculated/Estimated</t>
        </is>
      </c>
    </row>
    <row r="35">
      <c r="A35" t="inlineStr">
        <is>
          <t>baseline_data_source</t>
        </is>
      </c>
      <c r="B35" t="inlineStr">
        <is>
          <t>No description available</t>
        </is>
      </c>
      <c r="C35" t="inlineStr">
        <is>
          <t>See description</t>
        </is>
      </c>
      <c r="D35" t="inlineStr">
        <is>
          <t>Calculated/Estimated</t>
        </is>
      </c>
    </row>
    <row r="36">
      <c r="A36" t="inlineStr">
        <is>
          <t>notes</t>
        </is>
      </c>
      <c r="B36" t="inlineStr">
        <is>
          <t>No description available</t>
        </is>
      </c>
      <c r="C36" t="inlineStr">
        <is>
          <t>See description</t>
        </is>
      </c>
      <c r="D36" t="inlineStr">
        <is>
          <t>Calculated/Estimated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 and Documentation</t>
        </is>
      </c>
    </row>
    <row r="2">
      <c r="A2" t="inlineStr">
        <is>
          <t>INSTRUCTIONS FOR HEALTH IMPACT ASSESSMENT</t>
        </is>
      </c>
    </row>
    <row r="3">
      <c r="A3" t="inlineStr"/>
    </row>
    <row r="4">
      <c r="A4">
        <f>=====================================================================</f>
        <v/>
      </c>
    </row>
    <row r="5">
      <c r="A5" t="inlineStr">
        <is>
          <t>IMPORTANT: CAUSE-SPECIFIC MORTALITY TRENDS</t>
        </is>
      </c>
    </row>
    <row r="6">
      <c r="A6">
        <f>=====================================================================</f>
        <v/>
      </c>
    </row>
    <row r="7">
      <c r="A7" t="inlineStr">
        <is>
          <t>This dataset uses ACTUAL cause-specific mortality trends from GBD 2019:</t>
        </is>
      </c>
    </row>
    <row r="8">
      <c r="A8" t="inlineStr"/>
    </row>
    <row r="9">
      <c r="A9" t="inlineStr">
        <is>
          <t>INCREASING TRENDS (2005-2024):</t>
        </is>
      </c>
    </row>
    <row r="10">
      <c r="A10" t="inlineStr">
        <is>
          <t xml:space="preserve">  • Ischemic Heart Disease: +2.5% per year</t>
        </is>
      </c>
    </row>
    <row r="11">
      <c r="A11" t="inlineStr">
        <is>
          <t xml:space="preserve">  • Stroke: +2.0% per year</t>
        </is>
      </c>
    </row>
    <row r="12">
      <c r="A12" t="inlineStr">
        <is>
          <t xml:space="preserve">  • COPD: +1.8% per year</t>
        </is>
      </c>
    </row>
    <row r="13">
      <c r="A13" t="inlineStr">
        <is>
          <t xml:space="preserve">  • Lung Cancer: +2.2% per year</t>
        </is>
      </c>
    </row>
    <row r="14">
      <c r="A14" t="inlineStr">
        <is>
          <t xml:space="preserve">  • Diabetes: +3.5% per year</t>
        </is>
      </c>
    </row>
    <row r="15">
      <c r="A15" t="inlineStr"/>
    </row>
    <row r="16">
      <c r="A16" t="inlineStr">
        <is>
          <t>DECREASING TREND:</t>
        </is>
      </c>
    </row>
    <row r="17">
      <c r="A17" t="inlineStr">
        <is>
          <t xml:space="preserve">  • Lower Respiratory Infections: -1.5% per year (better healthcare)</t>
        </is>
      </c>
    </row>
    <row r="18">
      <c r="A18" t="inlineStr"/>
    </row>
    <row r="19">
      <c r="A19">
        <f>=====================================================================</f>
        <v/>
      </c>
    </row>
    <row r="20">
      <c r="A20" t="inlineStr">
        <is>
          <t>STEP 1: ADD YOUR PM2.5 DATA</t>
        </is>
      </c>
    </row>
    <row r="21">
      <c r="A21">
        <f>=====================================================================</f>
        <v/>
      </c>
    </row>
    <row r="22">
      <c r="A22" t="inlineStr">
        <is>
          <t>Replace 'pm25_concentration' column in Main_Data sheet with actual measurements</t>
        </is>
      </c>
    </row>
    <row r="23">
      <c r="A23" t="inlineStr">
        <is>
          <t xml:space="preserve">  • Unit: μg/m³ (annual average)</t>
        </is>
      </c>
    </row>
    <row r="24">
      <c r="A24" t="inlineStr">
        <is>
          <t xml:space="preserve">  • Must have data for each year 2005-2024</t>
        </is>
      </c>
    </row>
    <row r="25">
      <c r="A25" t="inlineStr"/>
    </row>
    <row r="26">
      <c r="A26">
        <f>=====================================================================</f>
        <v/>
      </c>
    </row>
    <row r="27">
      <c r="A27" t="inlineStr">
        <is>
          <t>STEP 2: CALCULATE PM2.5 ATTRIBUTABLE DEATHS</t>
        </is>
      </c>
    </row>
    <row r="28">
      <c r="A28">
        <f>=====================================================================</f>
        <v/>
      </c>
    </row>
    <row r="29">
      <c r="A29" t="inlineStr">
        <is>
          <t>For each health outcome and year:</t>
        </is>
      </c>
    </row>
    <row r="30">
      <c r="A30" t="inlineStr"/>
    </row>
    <row r="31">
      <c r="A31" t="inlineStr">
        <is>
          <t>1. Calculate Relative Risk (RR):</t>
        </is>
      </c>
    </row>
    <row r="32">
      <c r="A32" t="inlineStr">
        <is>
          <t xml:space="preserve">   RR = exp(β × (C - C₀))</t>
        </is>
      </c>
    </row>
    <row r="33">
      <c r="A33" t="inlineStr">
        <is>
          <t xml:space="preserve">   where:</t>
        </is>
      </c>
    </row>
    <row r="34">
      <c r="A34" t="inlineStr">
        <is>
          <t xml:space="preserve">     β = cr_coefficient / 10</t>
        </is>
      </c>
    </row>
    <row r="35">
      <c r="A35" t="inlineStr">
        <is>
          <t xml:space="preserve">     C = PM2.5 concentration</t>
        </is>
      </c>
    </row>
    <row r="36">
      <c r="A36" t="inlineStr">
        <is>
          <t xml:space="preserve">     C₀ = TMREL (2.4 μg/m³)</t>
        </is>
      </c>
    </row>
    <row r="37">
      <c r="A37" t="inlineStr"/>
    </row>
    <row r="38">
      <c r="A38" t="inlineStr">
        <is>
          <t>2. Calculate Attributable Fraction (AF):</t>
        </is>
      </c>
    </row>
    <row r="39">
      <c r="A39" t="inlineStr">
        <is>
          <t xml:space="preserve">   AF = (RR - 1) / RR</t>
        </is>
      </c>
    </row>
    <row r="40">
      <c r="A40" t="inlineStr"/>
    </row>
    <row r="41">
      <c r="A41" t="inlineStr">
        <is>
          <t>3. Calculate Attributable Deaths:</t>
        </is>
      </c>
    </row>
    <row r="42">
      <c r="A42" t="inlineStr">
        <is>
          <t xml:space="preserve">   Deaths = Population × (Baseline_Rate/100,000) × AF</t>
        </is>
      </c>
    </row>
    <row r="43">
      <c r="A43" t="inlineStr"/>
    </row>
    <row r="44">
      <c r="A44" t="inlineStr">
        <is>
          <t>4. Sum across all causes:</t>
        </is>
      </c>
    </row>
    <row r="45">
      <c r="A45" t="inlineStr">
        <is>
          <t xml:space="preserve">   Total PM2.5 Deaths = IHD_deaths + Stroke_deaths + COPD_deaths + </t>
        </is>
      </c>
    </row>
    <row r="46">
      <c r="A46" t="inlineStr">
        <is>
          <t xml:space="preserve">                        LRI_deaths + Lung_Cancer_deaths</t>
        </is>
      </c>
    </row>
    <row r="47">
      <c r="A47" t="inlineStr"/>
    </row>
    <row r="48">
      <c r="A48">
        <f>=====================================================================</f>
        <v/>
      </c>
    </row>
    <row r="49">
      <c r="A49" t="inlineStr">
        <is>
          <t>STEP 3: USE CORRECT POPULATION FOR EACH OUTCOME</t>
        </is>
      </c>
    </row>
    <row r="50">
      <c r="A50">
        <f>=====================================================================</f>
        <v/>
      </c>
    </row>
    <row r="51">
      <c r="A51" t="inlineStr">
        <is>
          <t xml:space="preserve">  • IHD, Stroke, COPD, Lung Cancer, Diabetes: Use population_25plus</t>
        </is>
      </c>
    </row>
    <row r="52">
      <c r="A52" t="inlineStr">
        <is>
          <t xml:space="preserve">  • Lower Respiratory Infections: Use population_total</t>
        </is>
      </c>
    </row>
    <row r="53">
      <c r="A53" t="inlineStr">
        <is>
          <t xml:space="preserve">  • Child ARI: Use population_under5</t>
        </is>
      </c>
    </row>
    <row r="54">
      <c r="A54" t="inlineStr"/>
    </row>
    <row r="55">
      <c r="A55">
        <f>=====================================================================</f>
        <v/>
      </c>
    </row>
    <row r="56">
      <c r="A56" t="inlineStr">
        <is>
          <t>EXPECTED RESULTS</t>
        </is>
      </c>
    </row>
    <row r="57">
      <c r="A57">
        <f>=====================================================================</f>
        <v/>
      </c>
    </row>
    <row r="58">
      <c r="A58" t="inlineStr">
        <is>
          <t>With increasing cause-specific mortality rates + stable/increasing PM2.5:</t>
        </is>
      </c>
    </row>
    <row r="59">
      <c r="A59" t="inlineStr">
        <is>
          <t xml:space="preserve">  → PM2.5 attributable deaths should INCREASE over 2005-2024</t>
        </is>
      </c>
    </row>
    <row r="60">
      <c r="A60" t="inlineStr">
        <is>
          <t xml:space="preserve">  → This matches the literature showing 26-38% increase</t>
        </is>
      </c>
    </row>
    <row r="61">
      <c r="A61" t="inlineStr"/>
    </row>
    <row r="62">
      <c r="A62">
        <f>=====================================================================</f>
        <v/>
      </c>
    </row>
    <row r="63">
      <c r="A63" t="inlineStr">
        <is>
          <t>EXAMPLE CALCULATION (IHD in 2005)</t>
        </is>
      </c>
    </row>
    <row r="64">
      <c r="A64">
        <f>=====================================================================</f>
        <v/>
      </c>
    </row>
    <row r="65">
      <c r="A65" t="inlineStr">
        <is>
          <t>Given:</t>
        </is>
      </c>
    </row>
    <row r="66">
      <c r="A66" t="inlineStr">
        <is>
          <t xml:space="preserve">  • PM2.5 = 50 μg/m³</t>
        </is>
      </c>
    </row>
    <row r="67">
      <c r="A67" t="inlineStr">
        <is>
          <t xml:space="preserve">  • IHD baseline rate = 68.5 per 100,000</t>
        </is>
      </c>
    </row>
    <row r="68">
      <c r="A68" t="inlineStr">
        <is>
          <t xml:space="preserve">  • Population 25+ = 8,000,000</t>
        </is>
      </c>
    </row>
    <row r="69">
      <c r="A69" t="inlineStr">
        <is>
          <t xml:space="preserve">  • β = 0.148/10 = 0.0148</t>
        </is>
      </c>
    </row>
    <row r="70">
      <c r="A70" t="inlineStr"/>
    </row>
    <row r="71">
      <c r="A71" t="inlineStr">
        <is>
          <t>Calculate:</t>
        </is>
      </c>
    </row>
    <row r="72">
      <c r="A72" t="inlineStr">
        <is>
          <t xml:space="preserve">  RR = exp(0.0148 × (50 - 2.4)) = exp(0.704) = 2.02</t>
        </is>
      </c>
    </row>
    <row r="73">
      <c r="A73" t="inlineStr">
        <is>
          <t xml:space="preserve">  AF = (2.02 - 1) / 2.02 = 0.505 (50.5%)</t>
        </is>
      </c>
    </row>
    <row r="74">
      <c r="A74" t="inlineStr">
        <is>
          <t xml:space="preserve">  Deaths = 8,000,000 × (68.5/100,000) × 0.505 = 2,766 deaths</t>
        </is>
      </c>
    </row>
    <row r="75">
      <c r="A75" t="inlineStr"/>
    </row>
    <row r="76">
      <c r="A76">
        <f>=====================================================================</f>
        <v/>
      </c>
    </row>
    <row r="77">
      <c r="A77" t="inlineStr">
        <is>
          <t>DATA SOURCES</t>
        </is>
      </c>
    </row>
    <row r="78">
      <c r="A78">
        <f>=====================================================================</f>
        <v/>
      </c>
    </row>
    <row r="79">
      <c r="A79" t="inlineStr">
        <is>
          <t xml:space="preserve">  • Cause-specific mortality: GBD 2019 (IHME)</t>
        </is>
      </c>
    </row>
    <row r="80">
      <c r="A80" t="inlineStr">
        <is>
          <t xml:space="preserve">  • CR coefficients: GBD 2019 IER functions</t>
        </is>
      </c>
    </row>
    <row r="81">
      <c r="A81" t="inlineStr">
        <is>
          <t xml:space="preserve">  • Population: World Bank API</t>
        </is>
      </c>
    </row>
    <row r="82">
      <c r="A82" t="inlineStr">
        <is>
          <t xml:space="preserve">  • Health indicators: World Bank / WHO</t>
        </is>
      </c>
    </row>
    <row r="83">
      <c r="A83" t="inlineStr"/>
    </row>
    <row r="84">
      <c r="A84">
        <f>=====================================================================</f>
        <v/>
      </c>
    </row>
    <row r="85">
      <c r="A85" t="inlineStr">
        <is>
          <t>VALIDATION</t>
        </is>
      </c>
    </row>
    <row r="86">
      <c r="A86">
        <f>=====================================================================</f>
        <v/>
      </c>
    </row>
    <row r="87">
      <c r="A87" t="inlineStr">
        <is>
          <t>To validate your results:</t>
        </is>
      </c>
    </row>
    <row r="88">
      <c r="A88" t="inlineStr">
        <is>
          <t xml:space="preserve">  1. Check Trend_Summary sheet for mortality trends</t>
        </is>
      </c>
    </row>
    <row r="89">
      <c r="A89" t="inlineStr">
        <is>
          <t xml:space="preserve">  2. Verify increasing cause-specific rates</t>
        </is>
      </c>
    </row>
    <row r="90">
      <c r="A90" t="inlineStr">
        <is>
          <t xml:space="preserve">  3. PM2.5 deaths should increase if PM2.5 hasn't decreased substantially</t>
        </is>
      </c>
    </row>
    <row r="91">
      <c r="A91" t="inlineStr">
        <is>
          <t xml:space="preserve">  4. Compare total to literature: ~28,000-32,000 deaths/year recently</t>
        </is>
      </c>
    </row>
    <row r="92">
      <c r="A92" t="inlineStr"/>
    </row>
    <row r="93">
      <c r="A93">
        <f>=====================================================================</f>
        <v/>
      </c>
    </row>
    <row r="94">
      <c r="A94" t="inlineStr">
        <is>
          <t>CONTACT &amp; RESOURCES</t>
        </is>
      </c>
    </row>
    <row r="95">
      <c r="A95">
        <f>=====================================================================</f>
        <v/>
      </c>
    </row>
    <row r="96">
      <c r="A96" t="inlineStr">
        <is>
          <t xml:space="preserve">  • GBD Data: http://ghdx.healthdata.org/gbd-results-tool</t>
        </is>
      </c>
    </row>
    <row r="97">
      <c r="A97" t="inlineStr">
        <is>
          <t xml:space="preserve">  • WHO Air Quality: https://www.who.int/health-topics/air-pollution</t>
        </is>
      </c>
    </row>
    <row r="98">
      <c r="A98" t="inlineStr">
        <is>
          <t xml:space="preserve">  • Ghana Statistical Service: https://statsghana.gov.gh/</t>
        </is>
      </c>
    </row>
    <row r="99">
      <c r="A99" t="inlineStr">
        <is>
          <t xml:space="preserve">  • Ghana Health Service: https://www.ghs.gov.gh/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2025-11-08T06:36:22Z</dcterms:created>
  <dcterms:modified xmlns:dcterms="http://purl.org/dc/terms/" xmlns:xsi="http://www.w3.org/2001/XMLSchema-instance" xsi:type="dcterms:W3CDTF">2025-11-08T06:36:22Z</dcterms:modified>
</cp:coreProperties>
</file>